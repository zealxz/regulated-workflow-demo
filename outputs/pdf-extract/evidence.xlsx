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Evidence" state="visible" r:id="rId5"/>
    <sheet sheetId="3" name="Review Queue" state="visible" r:id="rId6"/>
    <sheet sheetId="4" name="Audit" state="visible" r:id="rId7"/>
  </sheets>
  <definedNames>
    <definedName name="_xlnm.Print_Titles" localSheetId="1">'Evidence'!$1:$4</definedName>
    <definedName name="_xlnm.Print_Titles" localSheetId="2">'Review Queue'!$1:$4</definedName>
    <definedName name="_xlnm.Print_Titles" localSheetId="3">'Audit'!$1:$4</definedName>
  </definedNames>
  <calcPr calcId="171027" fullCalcOnLoad="1"/>
</workbook>
</file>

<file path=xl/sharedStrings.xml><?xml version="1.0" encoding="utf-8"?>
<sst xmlns="http://schemas.openxmlformats.org/spreadsheetml/2006/main" count="187" uniqueCount="66">
  <si>
    <t>Evidence Register</t>
  </si>
  <si>
    <t>Draft output for human review — not a compliance determination.</t>
  </si>
  <si>
    <t>Metric</t>
  </si>
  <si>
    <t>Value</t>
  </si>
  <si>
    <t>Evidence items</t>
  </si>
  <si>
    <t>Pending review</t>
  </si>
  <si>
    <t>Approved</t>
  </si>
  <si>
    <t>Rejected</t>
  </si>
  <si>
    <t>Average confidence</t>
  </si>
  <si>
    <t>How to use: verify the quote and locator, choose a review status, and add a reviewer note before treating any row as approved.</t>
  </si>
  <si>
    <t>Evidence Items</t>
  </si>
  <si>
    <t>Canonical records derived from local sample inputs. Use the review status rather than formatting as the decision field.</t>
  </si>
  <si>
    <t>Source ID</t>
  </si>
  <si>
    <t>Source</t>
  </si>
  <si>
    <t>Locator</t>
  </si>
  <si>
    <t>Field</t>
  </si>
  <si>
    <t>Quote</t>
  </si>
  <si>
    <t>Confidence</t>
  </si>
  <si>
    <t>Review Status</t>
  </si>
  <si>
    <t>synthetic-policy.pdf</t>
  </si>
  <si>
    <t>page 1</t>
  </si>
  <si>
    <t>text.line[1]</t>
  </si>
  <si>
    <t>Synthetic Policy Extract Fixture</t>
  </si>
  <si>
    <t>pending</t>
  </si>
  <si>
    <t>Policy ID</t>
  </si>
  <si>
    <t>SYN-PDF-001</t>
  </si>
  <si>
    <t>Policy ID: SYN-PDF-001</t>
  </si>
  <si>
    <t>Document Status</t>
  </si>
  <si>
    <t>Draft</t>
  </si>
  <si>
    <t>Document Status: Draft</t>
  </si>
  <si>
    <t>Owner</t>
  </si>
  <si>
    <t>Quality Operations</t>
  </si>
  <si>
    <t>Owner: Quality Operations</t>
  </si>
  <si>
    <t>Review Cycle Months</t>
  </si>
  <si>
    <t>6</t>
  </si>
  <si>
    <t>Review Cycle Months: 6</t>
  </si>
  <si>
    <t>Notice</t>
  </si>
  <si>
    <t>Synthetic test fixture. No real organization.</t>
  </si>
  <si>
    <t>Notice: Synthetic test fixture. No real organization.</t>
  </si>
  <si>
    <t>text.line[7]</t>
  </si>
  <si>
    <t>Public synthetic input - safe for parser verification</t>
  </si>
  <si>
    <t>text.line[8]</t>
  </si>
  <si>
    <t>Page 1 of 1</t>
  </si>
  <si>
    <t>Human Review Queue</t>
  </si>
  <si>
    <t>Editable decisions are intentionally separate from extracted evidence. Every item begins as pending.</t>
  </si>
  <si>
    <t>Reviewer Decision</t>
  </si>
  <si>
    <t>Reviewer Note</t>
  </si>
  <si>
    <t/>
  </si>
  <si>
    <t>Audit Trail</t>
  </si>
  <si>
    <t>Run metadata only. Credentials and full environment values are intentionally excluded.</t>
  </si>
  <si>
    <t>Timestamp</t>
  </si>
  <si>
    <t>Event</t>
  </si>
  <si>
    <t>Command</t>
  </si>
  <si>
    <t>Input Hash</t>
  </si>
  <si>
    <t>Record Count</t>
  </si>
  <si>
    <t>Details</t>
  </si>
  <si>
    <t>2026-08-26T07:49:41.813331Z</t>
  </si>
  <si>
    <t>run_started</t>
  </si>
  <si>
    <t>extract</t>
  </si>
  <si>
    <t>{"network_mode":"offline"}</t>
  </si>
  <si>
    <t>document_parsed</t>
  </si>
  <si>
    <t>9484d03076fbc3e5a1b5ecf5a2722258a8bef43501ac9ade6d5fd342501b3547</t>
  </si>
  <si>
    <t>{"input_role":"input","format":"pdf","byte_size":2056}</t>
  </si>
  <si>
    <t>2026-08-26T07:49:41.849734Z</t>
  </si>
  <si>
    <t>run_completed</t>
  </si>
  <si>
    <t>{"review_required":true}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</si>
</sst>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yyyy-mm-dd hh:mm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</font>
    <font>
      <i/>
      <color rgb="FF5F6B76"/>
      <sz val="10"/>
    </font>
    <font>
      <b/>
      <color rgb="FFFFFFFF"/>
    </font>
    <font>
      <b/>
      <color rgb="FF6B4F00"/>
    </font>
    <font>
      <color rgb="FF17212B"/>
      <sz val="10"/>
    </font>
  </fonts>
  <fills count="6">
    <fill>
      <patternFill patternType="none"/>
    </fill>
    <fill>
      <patternFill patternType="gray125"/>
    </fill>
    <fill>
      <patternFill patternType="solid">
        <fgColor rgb="FF16324F"/>
      </patternFill>
    </fill>
    <fill>
      <patternFill patternType="solid">
        <fgColor rgb="FFEAF1F8"/>
      </patternFill>
    </fill>
    <fill>
      <patternFill patternType="solid">
        <fgColor rgb="FF0F766E"/>
      </patternFill>
    </fill>
    <fill>
      <patternFill patternType="solid">
        <fgColor rgb="FFFFF4D6"/>
      </patternFill>
    </fill>
  </fills>
  <borders count="4">
    <border>
      <left/>
      <right/>
      <top/>
      <bottom/>
      <diagonal/>
    </border>
    <border>
      <left style="thin">
        <color rgb="FF0F766E"/>
      </left>
      <right style="thin">
        <color rgb="FF0F766E"/>
      </right>
      <top style="thin">
        <color rgb="FF0F766E"/>
      </top>
      <bottom style="thin">
        <color rgb="FF0F766E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0" fillId="0" borderId="2" xfId="0" applyBorder="1"/>
    <xf numFmtId="3" fontId="0" fillId="0" borderId="2" xfId="0" applyNumberFormat="1" applyBorder="1"/>
    <xf numFmtId="164" fontId="0" fillId="0" borderId="2" xfId="0" applyNumberFormat="1" applyBorder="1"/>
    <xf numFmtId="0" fontId="4" fillId="5" borderId="0" xfId="0" applyFont="1" applyFill="1" applyAlignment="1">
      <alignment vertical="center" wrapText="1"/>
    </xf>
    <xf numFmtId="0" fontId="5" fillId="0" borderId="3" xfId="0" applyFont="1" applyBorder="1" applyAlignment="1">
      <alignment vertical="top" wrapText="1"/>
    </xf>
    <xf numFmtId="164" fontId="5" fillId="0" borderId="3" xfId="0" applyNumberFormat="1" applyFont="1" applyBorder="1" applyAlignment="1">
      <alignment vertical="top" wrapText="1"/>
    </xf>
    <xf numFmtId="165" fontId="5" fillId="0" borderId="3" xfId="0" applyNumberFormat="1" applyFont="1" applyBorder="1" applyAlignment="1">
      <alignment vertical="top" wrapText="1"/>
    </xf>
    <xf numFmtId="3" fontId="5" fillId="0" borderId="3" xfId="0" applyNumberFormat="1" applyFont="1" applyBorder="1" applyAlignment="1">
      <alignment vertical="top" wrapText="1"/>
    </xf>
  </cellXfs>
  <cellStyles count="1">
    <cellStyle name="Normal" xfId="0" builtinId="0"/>
  </cellStyles>
  <dxfs count="6">
    <dxf>
      <font>
        <color rgb="FF6B4F00"/>
      </font>
      <fill>
        <patternFill patternType="solid">
          <fgColor rgb="FFFFF4D6"/>
        </patternFill>
      </fill>
    </dxf>
    <dxf>
      <font>
        <color rgb="FF155A32"/>
      </font>
      <fill>
        <patternFill patternType="solid">
          <fgColor rgb="FFE7F5EC"/>
        </patternFill>
      </fill>
    </dxf>
    <dxf>
      <font>
        <color rgb="FF8A1C1C"/>
      </font>
      <fill>
        <patternFill patternType="solid">
          <fgColor rgb="FFFDE8E7"/>
        </patternFill>
      </fill>
    </dxf>
    <dxf>
      <font>
        <color rgb="FF6B4F00"/>
      </font>
      <fill>
        <patternFill patternType="solid">
          <fgColor rgb="FFFFF4D6"/>
        </patternFill>
      </fill>
    </dxf>
    <dxf>
      <font>
        <color rgb="FF155A32"/>
      </font>
      <fill>
        <patternFill patternType="solid">
          <fgColor rgb="FFE7F5EC"/>
        </patternFill>
      </fill>
    </dxf>
    <dxf>
      <font>
        <color rgb="FF8A1C1C"/>
      </font>
      <fill>
        <patternFill patternType="solid">
          <fgColor rgb="FFFDE8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EvidenceItemsTable" displayName="EvidenceItemsTable" ref="A4:H12" totalsRowShown="1" headerRowCount="1">
  <autoFilter ref="A4:H1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name="Source ID" totalsRowLabel="Total"/>
    <tableColumn id="2" name="Source" totalsRowFunction="none"/>
    <tableColumn id="3" name="Locator" totalsRowFunction="none"/>
    <tableColumn id="4" name="Field" totalsRowFunction="none"/>
    <tableColumn id="5" name="Value" totalsRowFunction="none"/>
    <tableColumn id="6" name="Quote" totalsRowFunction="none"/>
    <tableColumn id="7" name="Confidence" totalsRowFunction="none"/>
    <tableColumn id="8" name="Review Status" totalsRowFunction="non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EvidenceReviewTable" displayName="EvidenceReviewTable" ref="A4:J12" totalsRowShown="1" headerRowCount="1">
  <autoFilter ref="A4:J1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name="Source ID" totalsRowLabel="Total"/>
    <tableColumn id="2" name="Source" totalsRowFunction="none"/>
    <tableColumn id="3" name="Locator" totalsRowFunction="none"/>
    <tableColumn id="4" name="Field" totalsRowFunction="none"/>
    <tableColumn id="5" name="Value" totalsRowFunction="none"/>
    <tableColumn id="6" name="Quote" totalsRowFunction="none"/>
    <tableColumn id="7" name="Confidence" totalsRowFunction="none"/>
    <tableColumn id="8" name="Review Status" totalsRowFunction="none"/>
    <tableColumn id="9" name="Reviewer Decision" totalsRowFunction="none"/>
    <tableColumn id="10" name="Reviewer Note" totalsRowFunction="non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AuditEventsTable" displayName="AuditEventsTable" ref="A4:G7" totalsRowShown="1" headerRowCount="1">
  <autoFilter ref="A4:G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name="Timestamp" totalsRowLabel="Total"/>
    <tableColumn id="2" name="Event" totalsRowFunction="none"/>
    <tableColumn id="3" name="Command" totalsRowFunction="none"/>
    <tableColumn id="4" name="Source ID" totalsRowFunction="none"/>
    <tableColumn id="5" name="Input Hash" totalsRowFunction="none"/>
    <tableColumn id="6" name="Record Count" totalsRowFunction="none"/>
    <tableColumn id="7" name="Details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1"/>
  <sheetViews>
    <sheetView workbookViewId="0" showGridLines="0"/>
  </sheetViews>
  <sheetFormatPr defaultRowHeight="15" outlineLevelRow="0" outlineLevelCol="0" x14ac:dyDescent="55"/>
  <cols>
    <col min="1" max="1" width="24" customWidth="1"/>
    <col min="2" max="2" width="16" customWidth="1"/>
    <col min="3" max="3" width="4" customWidth="1"/>
    <col min="4" max="8" width="16" customWidth="1"/>
  </cols>
  <sheetData>
    <row r="1" ht="34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30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8" customHeight="1" spans="1:2" x14ac:dyDescent="0.25">
      <c r="A4" s="3" t="s">
        <v>2</v>
      </c>
      <c r="B4" s="3" t="s">
        <v>3</v>
      </c>
    </row>
    <row r="5" spans="1:2" x14ac:dyDescent="0.25">
      <c r="A5" s="4" t="s">
        <v>4</v>
      </c>
      <c r="B5" s="5">
        <f>COUNTA('Evidence'!$A$5:$A$12)</f>
        <v>8</v>
      </c>
    </row>
    <row r="6" spans="1:2" x14ac:dyDescent="0.25">
      <c r="A6" s="4" t="s">
        <v>5</v>
      </c>
      <c r="B6" s="5">
        <f>COUNTIF('Evidence'!$H$5:$H$12,"pending")</f>
        <v>8</v>
      </c>
    </row>
    <row r="7" spans="1:2" x14ac:dyDescent="0.25">
      <c r="A7" s="4" t="s">
        <v>6</v>
      </c>
      <c r="B7" s="5">
        <f>COUNTIF('Evidence'!$H$5:$H$12,"approved")</f>
        <v>0</v>
      </c>
    </row>
    <row r="8" spans="1:2" x14ac:dyDescent="0.25">
      <c r="A8" s="4" t="s">
        <v>7</v>
      </c>
      <c r="B8" s="5">
        <f>COUNTIF('Evidence'!$H$5:$H$12,"rejected")</f>
        <v>0</v>
      </c>
    </row>
    <row r="9" spans="1:2" x14ac:dyDescent="0.25">
      <c r="A9" s="4" t="s">
        <v>8</v>
      </c>
      <c r="B9" s="6">
        <f>IFERROR(AVERAGE('Evidence'!$G$5:$G$12),0)</f>
        <v>0.7875</v>
      </c>
    </row>
    <row r="11" ht="36" customHeight="1" spans="1:8" x14ac:dyDescent="0.25">
      <c r="A11" s="7" t="s">
        <v>9</v>
      </c>
      <c r="B11" s="7"/>
      <c r="C11" s="7"/>
      <c r="D11" s="7"/>
      <c r="E11" s="7"/>
      <c r="F11" s="7"/>
      <c r="G11" s="7"/>
      <c r="H11" s="7"/>
    </row>
  </sheetData>
  <mergeCells count="3">
    <mergeCell ref="A1:H1"/>
    <mergeCell ref="A2:H2"/>
    <mergeCell ref="A11:H11"/>
  </mergeCells>
  <pageMargins left="0.25" right="0.25" top="0.35" bottom="0.35" header="0.15" footer="0.15"/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20" customWidth="1"/>
    <col min="2" max="2" width="36" customWidth="1"/>
    <col min="3" max="3" width="18" customWidth="1"/>
    <col min="4" max="4" width="22" customWidth="1"/>
    <col min="5" max="5" width="30" customWidth="1"/>
    <col min="6" max="6" width="58" customWidth="1"/>
    <col min="7" max="7" width="14" customWidth="1"/>
    <col min="8" max="8" width="18" customWidth="1"/>
  </cols>
  <sheetData>
    <row r="1" ht="34" customHeight="1" spans="1:8" x14ac:dyDescent="0.25">
      <c r="A1" s="1" t="s">
        <v>10</v>
      </c>
      <c r="B1" s="1"/>
      <c r="C1" s="1"/>
      <c r="D1" s="1"/>
      <c r="E1" s="1"/>
      <c r="F1" s="1"/>
      <c r="G1" s="1"/>
      <c r="H1" s="1"/>
    </row>
    <row r="2" ht="30" customHeight="1" spans="1:8" x14ac:dyDescent="0.25">
      <c r="A2" s="2" t="s">
        <v>11</v>
      </c>
      <c r="B2" s="2"/>
      <c r="C2" s="2"/>
      <c r="D2" s="2"/>
      <c r="E2" s="2"/>
      <c r="F2" s="2"/>
      <c r="G2" s="2"/>
      <c r="H2" s="2"/>
    </row>
    <row r="4" ht="28" customHeight="1" spans="1:8" x14ac:dyDescent="0.25">
      <c r="A4" s="3" t="s">
        <v>12</v>
      </c>
      <c r="B4" s="3" t="s">
        <v>13</v>
      </c>
      <c r="C4" s="3" t="s">
        <v>14</v>
      </c>
      <c r="D4" s="3" t="s">
        <v>15</v>
      </c>
      <c r="E4" s="3" t="s">
        <v>3</v>
      </c>
      <c r="F4" s="3" t="s">
        <v>16</v>
      </c>
      <c r="G4" s="3" t="s">
        <v>17</v>
      </c>
      <c r="H4" s="3" t="s">
        <v>18</v>
      </c>
    </row>
    <row r="5" ht="36" customHeight="1" spans="1:8" x14ac:dyDescent="0.25">
      <c r="A5" s="8" t="s">
        <v>19</v>
      </c>
      <c r="B5" s="8" t="s">
        <v>19</v>
      </c>
      <c r="C5" s="8" t="s">
        <v>20</v>
      </c>
      <c r="D5" s="8" t="s">
        <v>21</v>
      </c>
      <c r="E5" s="8" t="s">
        <v>22</v>
      </c>
      <c r="F5" s="8" t="s">
        <v>22</v>
      </c>
      <c r="G5" s="9">
        <v>0.6</v>
      </c>
      <c r="H5" s="8" t="s">
        <v>23</v>
      </c>
    </row>
    <row r="6" ht="36" customHeight="1" spans="1:8" x14ac:dyDescent="0.25">
      <c r="A6" s="8" t="s">
        <v>19</v>
      </c>
      <c r="B6" s="8" t="s">
        <v>19</v>
      </c>
      <c r="C6" s="8" t="s">
        <v>20</v>
      </c>
      <c r="D6" s="8" t="s">
        <v>24</v>
      </c>
      <c r="E6" s="8" t="s">
        <v>25</v>
      </c>
      <c r="F6" s="8" t="s">
        <v>26</v>
      </c>
      <c r="G6" s="9">
        <v>0.9</v>
      </c>
      <c r="H6" s="8" t="s">
        <v>23</v>
      </c>
    </row>
    <row r="7" ht="36" customHeight="1" spans="1:8" x14ac:dyDescent="0.25">
      <c r="A7" s="8" t="s">
        <v>19</v>
      </c>
      <c r="B7" s="8" t="s">
        <v>19</v>
      </c>
      <c r="C7" s="8" t="s">
        <v>20</v>
      </c>
      <c r="D7" s="8" t="s">
        <v>27</v>
      </c>
      <c r="E7" s="8" t="s">
        <v>28</v>
      </c>
      <c r="F7" s="8" t="s">
        <v>29</v>
      </c>
      <c r="G7" s="9">
        <v>0.9</v>
      </c>
      <c r="H7" s="8" t="s">
        <v>23</v>
      </c>
    </row>
    <row r="8" ht="36" customHeight="1" spans="1:8" x14ac:dyDescent="0.25">
      <c r="A8" s="8" t="s">
        <v>19</v>
      </c>
      <c r="B8" s="8" t="s">
        <v>19</v>
      </c>
      <c r="C8" s="8" t="s">
        <v>20</v>
      </c>
      <c r="D8" s="8" t="s">
        <v>30</v>
      </c>
      <c r="E8" s="8" t="s">
        <v>31</v>
      </c>
      <c r="F8" s="8" t="s">
        <v>32</v>
      </c>
      <c r="G8" s="9">
        <v>0.9</v>
      </c>
      <c r="H8" s="8" t="s">
        <v>23</v>
      </c>
    </row>
    <row r="9" ht="36" customHeight="1" spans="1:8" x14ac:dyDescent="0.25">
      <c r="A9" s="8" t="s">
        <v>19</v>
      </c>
      <c r="B9" s="8" t="s">
        <v>19</v>
      </c>
      <c r="C9" s="8" t="s">
        <v>20</v>
      </c>
      <c r="D9" s="8" t="s">
        <v>33</v>
      </c>
      <c r="E9" s="8" t="s">
        <v>34</v>
      </c>
      <c r="F9" s="8" t="s">
        <v>35</v>
      </c>
      <c r="G9" s="9">
        <v>0.9</v>
      </c>
      <c r="H9" s="8" t="s">
        <v>23</v>
      </c>
    </row>
    <row r="10" ht="36" customHeight="1" spans="1:8" x14ac:dyDescent="0.25">
      <c r="A10" s="8" t="s">
        <v>19</v>
      </c>
      <c r="B10" s="8" t="s">
        <v>19</v>
      </c>
      <c r="C10" s="8" t="s">
        <v>20</v>
      </c>
      <c r="D10" s="8" t="s">
        <v>36</v>
      </c>
      <c r="E10" s="8" t="s">
        <v>37</v>
      </c>
      <c r="F10" s="8" t="s">
        <v>38</v>
      </c>
      <c r="G10" s="9">
        <v>0.9</v>
      </c>
      <c r="H10" s="8" t="s">
        <v>23</v>
      </c>
    </row>
    <row r="11" ht="36" customHeight="1" spans="1:8" x14ac:dyDescent="0.25">
      <c r="A11" s="8" t="s">
        <v>19</v>
      </c>
      <c r="B11" s="8" t="s">
        <v>19</v>
      </c>
      <c r="C11" s="8" t="s">
        <v>20</v>
      </c>
      <c r="D11" s="8" t="s">
        <v>39</v>
      </c>
      <c r="E11" s="8" t="s">
        <v>40</v>
      </c>
      <c r="F11" s="8" t="s">
        <v>40</v>
      </c>
      <c r="G11" s="9">
        <v>0.6</v>
      </c>
      <c r="H11" s="8" t="s">
        <v>23</v>
      </c>
    </row>
    <row r="12" ht="36" customHeight="1" spans="1:8" x14ac:dyDescent="0.25">
      <c r="A12" s="8" t="s">
        <v>19</v>
      </c>
      <c r="B12" s="8" t="s">
        <v>19</v>
      </c>
      <c r="C12" s="8" t="s">
        <v>20</v>
      </c>
      <c r="D12" s="8" t="s">
        <v>41</v>
      </c>
      <c r="E12" s="8" t="s">
        <v>42</v>
      </c>
      <c r="F12" s="8" t="s">
        <v>42</v>
      </c>
      <c r="G12" s="9">
        <v>0.6</v>
      </c>
      <c r="H12" s="8" t="s">
        <v>23</v>
      </c>
    </row>
  </sheetData>
  <mergeCells count="2">
    <mergeCell ref="A1:H1"/>
    <mergeCell ref="A2:H2"/>
  </mergeCells>
  <conditionalFormatting sqref="H5:H12">
    <cfRule type="expression" dxfId="0" priority="1">
      <formula>$H5="pending"</formula>
    </cfRule>
    <cfRule type="expression" dxfId="1" priority="2">
      <formula>$H5="approved"</formula>
    </cfRule>
    <cfRule type="expression" dxfId="2" priority="3">
      <formula>$H5="rejected"</formula>
    </cfRule>
  </conditionalFormatting>
  <dataValidations count="1">
    <dataValidation type="list" sqref="H5:H12">
      <formula1>"pending,approved,rejected"</formula1>
    </dataValidation>
  </dataValidations>
  <pageMargins left="0.25" right="0.25" top="0.35" bottom="0.35" header="0.15" footer="0.15"/>
  <pageSetup paperSize="9" orientation="landscape" fitToWidth="1" fitToHeight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2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20" customWidth="1"/>
    <col min="2" max="2" width="32" customWidth="1"/>
    <col min="3" max="3" width="16" customWidth="1"/>
    <col min="4" max="4" width="20" customWidth="1"/>
    <col min="5" max="5" width="26" customWidth="1"/>
    <col min="6" max="6" width="48" customWidth="1"/>
    <col min="7" max="7" width="12" customWidth="1"/>
    <col min="8" max="8" width="16" customWidth="1"/>
    <col min="9" max="9" width="18" customWidth="1"/>
    <col min="10" max="10" width="42" customWidth="1"/>
  </cols>
  <sheetData>
    <row r="1" ht="34" customHeight="1" spans="1:10" x14ac:dyDescent="0.25">
      <c r="A1" s="1" t="s">
        <v>43</v>
      </c>
      <c r="B1" s="1"/>
      <c r="C1" s="1"/>
      <c r="D1" s="1"/>
      <c r="E1" s="1"/>
      <c r="F1" s="1"/>
      <c r="G1" s="1"/>
      <c r="H1" s="1"/>
      <c r="I1" s="1"/>
      <c r="J1" s="1"/>
    </row>
    <row r="2" ht="30" customHeight="1" spans="1:10" x14ac:dyDescent="0.25">
      <c r="A2" s="2" t="s">
        <v>44</v>
      </c>
      <c r="B2" s="2"/>
      <c r="C2" s="2"/>
      <c r="D2" s="2"/>
      <c r="E2" s="2"/>
      <c r="F2" s="2"/>
      <c r="G2" s="2"/>
      <c r="H2" s="2"/>
      <c r="I2" s="2"/>
      <c r="J2" s="2"/>
    </row>
    <row r="4" ht="28" customHeight="1" spans="1:10" x14ac:dyDescent="0.25">
      <c r="A4" s="3" t="s">
        <v>12</v>
      </c>
      <c r="B4" s="3" t="s">
        <v>13</v>
      </c>
      <c r="C4" s="3" t="s">
        <v>14</v>
      </c>
      <c r="D4" s="3" t="s">
        <v>15</v>
      </c>
      <c r="E4" s="3" t="s">
        <v>3</v>
      </c>
      <c r="F4" s="3" t="s">
        <v>16</v>
      </c>
      <c r="G4" s="3" t="s">
        <v>17</v>
      </c>
      <c r="H4" s="3" t="s">
        <v>18</v>
      </c>
      <c r="I4" s="3" t="s">
        <v>45</v>
      </c>
      <c r="J4" s="3" t="s">
        <v>46</v>
      </c>
    </row>
    <row r="5" ht="36" customHeight="1" spans="1:10" x14ac:dyDescent="0.25">
      <c r="A5" s="8" t="s">
        <v>19</v>
      </c>
      <c r="B5" s="8" t="s">
        <v>19</v>
      </c>
      <c r="C5" s="8" t="s">
        <v>20</v>
      </c>
      <c r="D5" s="8" t="s">
        <v>21</v>
      </c>
      <c r="E5" s="8" t="s">
        <v>22</v>
      </c>
      <c r="F5" s="8" t="s">
        <v>22</v>
      </c>
      <c r="G5" s="9">
        <v>0.6</v>
      </c>
      <c r="H5" s="8" t="s">
        <v>23</v>
      </c>
      <c r="I5" s="8" t="s">
        <v>23</v>
      </c>
      <c r="J5" s="8" t="s">
        <v>47</v>
      </c>
    </row>
    <row r="6" ht="36" customHeight="1" spans="1:10" x14ac:dyDescent="0.25">
      <c r="A6" s="8" t="s">
        <v>19</v>
      </c>
      <c r="B6" s="8" t="s">
        <v>19</v>
      </c>
      <c r="C6" s="8" t="s">
        <v>20</v>
      </c>
      <c r="D6" s="8" t="s">
        <v>24</v>
      </c>
      <c r="E6" s="8" t="s">
        <v>25</v>
      </c>
      <c r="F6" s="8" t="s">
        <v>26</v>
      </c>
      <c r="G6" s="9">
        <v>0.9</v>
      </c>
      <c r="H6" s="8" t="s">
        <v>23</v>
      </c>
      <c r="I6" s="8" t="s">
        <v>23</v>
      </c>
      <c r="J6" s="8" t="s">
        <v>47</v>
      </c>
    </row>
    <row r="7" ht="36" customHeight="1" spans="1:10" x14ac:dyDescent="0.25">
      <c r="A7" s="8" t="s">
        <v>19</v>
      </c>
      <c r="B7" s="8" t="s">
        <v>19</v>
      </c>
      <c r="C7" s="8" t="s">
        <v>20</v>
      </c>
      <c r="D7" s="8" t="s">
        <v>27</v>
      </c>
      <c r="E7" s="8" t="s">
        <v>28</v>
      </c>
      <c r="F7" s="8" t="s">
        <v>29</v>
      </c>
      <c r="G7" s="9">
        <v>0.9</v>
      </c>
      <c r="H7" s="8" t="s">
        <v>23</v>
      </c>
      <c r="I7" s="8" t="s">
        <v>23</v>
      </c>
      <c r="J7" s="8" t="s">
        <v>47</v>
      </c>
    </row>
    <row r="8" ht="36" customHeight="1" spans="1:10" x14ac:dyDescent="0.25">
      <c r="A8" s="8" t="s">
        <v>19</v>
      </c>
      <c r="B8" s="8" t="s">
        <v>19</v>
      </c>
      <c r="C8" s="8" t="s">
        <v>20</v>
      </c>
      <c r="D8" s="8" t="s">
        <v>30</v>
      </c>
      <c r="E8" s="8" t="s">
        <v>31</v>
      </c>
      <c r="F8" s="8" t="s">
        <v>32</v>
      </c>
      <c r="G8" s="9">
        <v>0.9</v>
      </c>
      <c r="H8" s="8" t="s">
        <v>23</v>
      </c>
      <c r="I8" s="8" t="s">
        <v>23</v>
      </c>
      <c r="J8" s="8" t="s">
        <v>47</v>
      </c>
    </row>
    <row r="9" ht="36" customHeight="1" spans="1:10" x14ac:dyDescent="0.25">
      <c r="A9" s="8" t="s">
        <v>19</v>
      </c>
      <c r="B9" s="8" t="s">
        <v>19</v>
      </c>
      <c r="C9" s="8" t="s">
        <v>20</v>
      </c>
      <c r="D9" s="8" t="s">
        <v>33</v>
      </c>
      <c r="E9" s="8" t="s">
        <v>34</v>
      </c>
      <c r="F9" s="8" t="s">
        <v>35</v>
      </c>
      <c r="G9" s="9">
        <v>0.9</v>
      </c>
      <c r="H9" s="8" t="s">
        <v>23</v>
      </c>
      <c r="I9" s="8" t="s">
        <v>23</v>
      </c>
      <c r="J9" s="8" t="s">
        <v>47</v>
      </c>
    </row>
    <row r="10" ht="36" customHeight="1" spans="1:10" x14ac:dyDescent="0.25">
      <c r="A10" s="8" t="s">
        <v>19</v>
      </c>
      <c r="B10" s="8" t="s">
        <v>19</v>
      </c>
      <c r="C10" s="8" t="s">
        <v>20</v>
      </c>
      <c r="D10" s="8" t="s">
        <v>36</v>
      </c>
      <c r="E10" s="8" t="s">
        <v>37</v>
      </c>
      <c r="F10" s="8" t="s">
        <v>38</v>
      </c>
      <c r="G10" s="9">
        <v>0.9</v>
      </c>
      <c r="H10" s="8" t="s">
        <v>23</v>
      </c>
      <c r="I10" s="8" t="s">
        <v>23</v>
      </c>
      <c r="J10" s="8" t="s">
        <v>47</v>
      </c>
    </row>
    <row r="11" ht="36" customHeight="1" spans="1:10" x14ac:dyDescent="0.25">
      <c r="A11" s="8" t="s">
        <v>19</v>
      </c>
      <c r="B11" s="8" t="s">
        <v>19</v>
      </c>
      <c r="C11" s="8" t="s">
        <v>20</v>
      </c>
      <c r="D11" s="8" t="s">
        <v>39</v>
      </c>
      <c r="E11" s="8" t="s">
        <v>40</v>
      </c>
      <c r="F11" s="8" t="s">
        <v>40</v>
      </c>
      <c r="G11" s="9">
        <v>0.6</v>
      </c>
      <c r="H11" s="8" t="s">
        <v>23</v>
      </c>
      <c r="I11" s="8" t="s">
        <v>23</v>
      </c>
      <c r="J11" s="8" t="s">
        <v>47</v>
      </c>
    </row>
    <row r="12" ht="36" customHeight="1" spans="1:10" x14ac:dyDescent="0.25">
      <c r="A12" s="8" t="s">
        <v>19</v>
      </c>
      <c r="B12" s="8" t="s">
        <v>19</v>
      </c>
      <c r="C12" s="8" t="s">
        <v>20</v>
      </c>
      <c r="D12" s="8" t="s">
        <v>41</v>
      </c>
      <c r="E12" s="8" t="s">
        <v>42</v>
      </c>
      <c r="F12" s="8" t="s">
        <v>42</v>
      </c>
      <c r="G12" s="9">
        <v>0.6</v>
      </c>
      <c r="H12" s="8" t="s">
        <v>23</v>
      </c>
      <c r="I12" s="8" t="s">
        <v>23</v>
      </c>
      <c r="J12" s="8" t="s">
        <v>47</v>
      </c>
    </row>
  </sheetData>
  <mergeCells count="2">
    <mergeCell ref="A1:J1"/>
    <mergeCell ref="A2:J2"/>
  </mergeCells>
  <conditionalFormatting sqref="I5:I12">
    <cfRule type="expression" dxfId="3" priority="1">
      <formula>$I5="pending"</formula>
    </cfRule>
    <cfRule type="expression" dxfId="4" priority="2">
      <formula>$I5="approved"</formula>
    </cfRule>
    <cfRule type="expression" dxfId="5" priority="3">
      <formula>$I5="rejected"</formula>
    </cfRule>
  </conditionalFormatting>
  <dataValidations count="1">
    <dataValidation type="list" sqref="I5:I12">
      <formula1>"pending,approved,rejected"</formula1>
    </dataValidation>
  </dataValidations>
  <pageMargins left="0.25" right="0.25" top="0.35" bottom="0.35" header="0.15" footer="0.15"/>
  <pageSetup paperSize="9" orientation="landscape" fitToWidth="1" fitToHeight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7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21" customWidth="1"/>
    <col min="2" max="2" width="22" customWidth="1"/>
    <col min="3" max="3" width="18" customWidth="1"/>
    <col min="4" max="4" width="20" customWidth="1"/>
    <col min="5" max="5" width="34" customWidth="1"/>
    <col min="6" max="6" width="14" customWidth="1"/>
    <col min="7" max="7" width="60" customWidth="1"/>
  </cols>
  <sheetData>
    <row r="1" ht="34" customHeight="1" spans="1:7" x14ac:dyDescent="0.25">
      <c r="A1" s="1" t="s">
        <v>48</v>
      </c>
      <c r="B1" s="1"/>
      <c r="C1" s="1"/>
      <c r="D1" s="1"/>
      <c r="E1" s="1"/>
      <c r="F1" s="1"/>
      <c r="G1" s="1"/>
    </row>
    <row r="2" ht="30" customHeight="1" spans="1:7" x14ac:dyDescent="0.25">
      <c r="A2" s="2" t="s">
        <v>49</v>
      </c>
      <c r="B2" s="2"/>
      <c r="C2" s="2"/>
      <c r="D2" s="2"/>
      <c r="E2" s="2"/>
      <c r="F2" s="2"/>
      <c r="G2" s="2"/>
    </row>
    <row r="4" ht="28" customHeight="1" spans="1:7" x14ac:dyDescent="0.25">
      <c r="A4" s="3" t="s">
        <v>50</v>
      </c>
      <c r="B4" s="3" t="s">
        <v>51</v>
      </c>
      <c r="C4" s="3" t="s">
        <v>52</v>
      </c>
      <c r="D4" s="3" t="s">
        <v>12</v>
      </c>
      <c r="E4" s="3" t="s">
        <v>53</v>
      </c>
      <c r="F4" s="3" t="s">
        <v>54</v>
      </c>
      <c r="G4" s="3" t="s">
        <v>55</v>
      </c>
    </row>
    <row r="5" ht="36" customHeight="1" spans="1:7" x14ac:dyDescent="0.25">
      <c r="A5" s="10" t="s">
        <v>56</v>
      </c>
      <c r="B5" s="8" t="s">
        <v>57</v>
      </c>
      <c r="C5" s="8" t="s">
        <v>58</v>
      </c>
      <c r="D5" s="8" t="s">
        <v>47</v>
      </c>
      <c r="E5" s="8" t="s">
        <v>47</v>
      </c>
      <c r="F5" s="11">
        <v>0</v>
      </c>
      <c r="G5" s="8" t="s">
        <v>59</v>
      </c>
    </row>
    <row r="6" ht="36" customHeight="1" spans="1:7" x14ac:dyDescent="0.25">
      <c r="A6" s="10" t="s">
        <v>56</v>
      </c>
      <c r="B6" s="8" t="s">
        <v>60</v>
      </c>
      <c r="C6" s="8" t="s">
        <v>47</v>
      </c>
      <c r="D6" s="8" t="s">
        <v>19</v>
      </c>
      <c r="E6" s="8" t="s">
        <v>61</v>
      </c>
      <c r="F6" s="11">
        <v>8</v>
      </c>
      <c r="G6" s="8" t="s">
        <v>62</v>
      </c>
    </row>
    <row r="7" ht="36" customHeight="1" spans="1:7" x14ac:dyDescent="0.25">
      <c r="A7" s="10" t="s">
        <v>63</v>
      </c>
      <c r="B7" s="8" t="s">
        <v>64</v>
      </c>
      <c r="C7" s="8" t="s">
        <v>58</v>
      </c>
      <c r="D7" s="8" t="s">
        <v>47</v>
      </c>
      <c r="E7" s="8" t="s">
        <v>47</v>
      </c>
      <c r="F7" s="11">
        <v>8</v>
      </c>
      <c r="G7" s="8" t="s">
        <v>65</v>
      </c>
    </row>
  </sheetData>
  <mergeCells count="2">
    <mergeCell ref="A1:G1"/>
    <mergeCell ref="A2:G2"/>
  </mergeCells>
  <pageMargins left="0.25" right="0.25" top="0.35" bottom="0.35" header="0.15" footer="0.15"/>
  <pageSetup paperSize="9" orientation="landscape" fitToWidth="1" fitToHeight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Evidence</vt:lpstr>
      <vt:lpstr>Review Queue</vt:lpstr>
      <vt:lpstr>Audit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regulated-workflow-demo</dc:creator>
  <dc:title/>
  <dc:subject/>
  <dc:description/>
  <cp:keywords/>
  <cp:category/>
  <cp:lastModifiedBy>regulated-workflow-demo</cp:lastModifiedBy>
  <dcterms:created xsi:type="dcterms:W3CDTF">2026-01-01T00:00:00Z</dcterms:created>
  <dcterms:modified xsi:type="dcterms:W3CDTF">2026-01-01T00:00:00Z</dcterms:modified>
</cp:coreProperties>
</file>