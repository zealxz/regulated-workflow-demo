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be60793a674c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cf58341bc174870"/>
    <x:sheet xmlns:r="http://schemas.openxmlformats.org/officeDocument/2006/relationships" name="Changes" sheetId="2" r:id="Rd9319be55e5646ba"/>
    <x:sheet xmlns:r="http://schemas.openxmlformats.org/officeDocument/2006/relationships" name="Review Queue" sheetId="3" r:id="R66099f8705d24329"/>
    <x:sheet xmlns:r="http://schemas.openxmlformats.org/officeDocument/2006/relationships" name="Audit" sheetId="4" r:id="R656eec18a3d449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"/>
    <x:numFmt numFmtId="201" formatCode="#,##0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F6B76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1"/>
      <x:color rgb="FF6B4F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1F8"/>
      </x:patternFill>
    </x:fill>
    <x:fill>
      <x:patternFill patternType="solid">
        <x:fgColor rgb="FF0F766E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0F766E"/>
      </x:left>
      <x:top style="thin">
        <x:color rgb="FF0F766E"/>
      </x:top>
      <x:bottom style="thin">
        <x:color rgb="FF0F766E"/>
      </x:bottom>
    </x:border>
    <x:border>
      <x:top style="thin">
        <x:color rgb="FF0F766E"/>
      </x:top>
      <x:bottom style="thin">
        <x:color rgb="FF0F766E"/>
      </x:bottom>
    </x:border>
    <x:border>
      <x:right style="thin">
        <x:color rgb="FF0F766E"/>
      </x:right>
      <x:top style="thin">
        <x:color rgb="FF0F766E"/>
      </x:top>
      <x:bottom style="thin">
        <x:color rgb="FF0F766E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</x:border>
    <x:border>
      <x:right style="thin">
        <x:color rgb="FFE2E8F0"/>
      </x:right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bottom style="thin">
        <x:color rgb="FFE2E8F0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1" fontId="4" fillId="0" borderId="4" xfId="0" applyNumberFormat="1" applyFont="1" applyFill="1" applyBorder="1" applyAlignment="1">
      <x:alignment vertical="top" wrapText="1"/>
    </x:xf>
    <x:xf numFmtId="201" fontId="4" fillId="0" borderId="5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0" fontId="0" fillId="0" borderId="6" xfId="0" applyNumberFormat="1" applyFont="1" applyFill="1" applyBorder="1"/>
    <x:xf numFmtId="201" fontId="0" fillId="0" borderId="7" xfId="0" applyNumberFormat="1" applyFont="1" applyFill="1" applyBorder="1"/>
    <x:xf numFmtId="0" fontId="0" fillId="0" borderId="8" xfId="0" applyNumberFormat="1" applyFont="1" applyFill="1" applyBorder="1"/>
    <x:xf numFmtId="201" fontId="0" fillId="0" borderId="9" xfId="0" applyNumberFormat="1" applyFont="1" applyFill="1" applyBorder="1"/>
    <x:xf numFmtId="0" fontId="0" fillId="0" borderId="10" xfId="0" applyNumberFormat="1" applyFont="1" applyFill="1" applyBorder="1"/>
    <x:xf numFmtId="201" fontId="0" fillId="0" borderId="11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8A1C1C"/>
      </x:font>
      <x:fill>
        <x:patternFill patternType="solid">
          <x:bgColor rgb="FFFDE8E7"/>
        </x:patternFill>
      </x:fill>
    </x:dxf>
    <x:dxf>
      <x:font>
        <x:color rgb="FF6B4F00"/>
      </x:font>
      <x:fill>
        <x:patternFill patternType="solid">
          <x:bgColor rgb="FFFFF4D6"/>
        </x:patternFill>
      </x:fill>
    </x:dxf>
    <x:dxf>
      <x:font>
        <x:color rgb="FF155A32"/>
      </x:font>
      <x:fill>
        <x:patternFill patternType="solid">
          <x:bgColor rgb="FFE7F5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df1e353b3f45ab" /><Relationship Type="http://schemas.openxmlformats.org/officeDocument/2006/relationships/theme" Target="/xl/theme/theme1.xml" Id="Ra89476e504f54bdb" /><Relationship Type="http://schemas.openxmlformats.org/officeDocument/2006/relationships/sharedStrings" Target="/xl/sharedStrings.xml" Id="Rf0143ae38ab84d16" /><Relationship Type="http://schemas.openxmlformats.org/officeDocument/2006/relationships/worksheet" Target="/xl/worksheets/sheet1.xml" Id="Rfcf58341bc174870" /><Relationship Type="http://schemas.openxmlformats.org/officeDocument/2006/relationships/worksheet" Target="/xl/worksheets/sheet2.xml" Id="Rd9319be55e5646ba" /><Relationship Type="http://schemas.openxmlformats.org/officeDocument/2006/relationships/worksheet" Target="/xl/worksheets/sheet3.xml" Id="R66099f8705d24329" /><Relationship Type="http://schemas.openxmlformats.org/officeDocument/2006/relationships/worksheet" Target="/xl/worksheets/sheet4.xml" Id="R656eec18a3d4498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2d6e67b86ff48a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Changes by review risk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'Summary'!$D$5:$D$7</c:f>
              <c:strCache>
                <c:ptCount val="0"/>
              </c:strCache>
            </c:strRef>
          </c:cat>
          <c:val>
            <c:numRef>
              <c:f>'Summary'!$E$5:$E$7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8</xdr:row>
      <xdr:rowOff>0</xdr:rowOff>
    </xdr:from>
    <xdr:to>
      <xdr:col>8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2d6e67b86ff48a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DocumentChangesTable" displayName="DocumentChangesTable" ref="A4:H17" headerRowCount="1" totalsRowCount="0" totalsRowShown="0">
  <x:tableColumns count="8">
    <x:tableColumn id="1" name="Source ID"/>
    <x:tableColumn id="2" name="Field"/>
    <x:tableColumn id="3" name="Old Value"/>
    <x:tableColumn id="4" name="New Value"/>
    <x:tableColumn id="5" name="Risk Level"/>
    <x:tableColumn id="6" name="Rationale"/>
    <x:tableColumn id="7" name="Source Locator"/>
    <x:tableColumn id="8" name="Review 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ChangeReviewTable" displayName="ChangeReviewTable" ref="A4:J17" headerRowCount="1" totalsRowCount="0" totalsRowShown="0">
  <x:tableColumns count="10">
    <x:tableColumn id="1" name="Source ID"/>
    <x:tableColumn id="2" name="Field"/>
    <x:tableColumn id="3" name="Old Value"/>
    <x:tableColumn id="4" name="New Value"/>
    <x:tableColumn id="5" name="Risk Level"/>
    <x:tableColumn id="6" name="Rationale"/>
    <x:tableColumn id="7" name="Source Locator"/>
    <x:tableColumn id="8" name="Review Status"/>
    <x:tableColumn id="9" name="Reviewer Decision"/>
    <x:tableColumn id="10" name="Reviewer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AuditEventsTable" displayName="AuditEventsTable" ref="A4:G14" headerRowCount="1" totalsRowCount="0" totalsRowShown="0">
  <x:tableColumns count="7">
    <x:tableColumn id="1" name="Timestamp"/>
    <x:tableColumn id="2" name="Event"/>
    <x:tableColumn id="3" name="Command"/>
    <x:tableColumn id="4" name="Source ID"/>
    <x:tableColumn id="5" name="Input Hash"/>
    <x:tableColumn id="6" name="Record Count"/>
    <x:tableColumn id="7" name="Detail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d1763127ff5472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a261418de524c9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b215bebf41d417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6efd14bf3a14ee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</x:cols>
  <x:sheetData>
    <x:row r="1" ht="34" customHeight="1">
      <x:c r="A1" s="3" t="str">
        <x:v>Document Change Register</x:v>
      </x:c>
    </x:row>
    <x:row r="2" ht="30" customHeight="1">
      <x:c r="A2" s="6" t="str">
        <x:v>Risk levels are deterministic review hints, not compliance conclusions.</x:v>
      </x:c>
    </x:row>
    <x:row r="4" ht="28" customHeight="1">
      <x:c r="A4" s="15" t="str">
        <x:v>Metric</x:v>
      </x:c>
      <x:c r="B4" s="17" t="str">
        <x:v>Value</x:v>
      </x:c>
      <x:c r="D4" s="15" t="str">
        <x:v>Risk</x:v>
      </x:c>
      <x:c r="E4" s="17" t="str">
        <x:v>Count</x:v>
      </x:c>
    </x:row>
    <x:row r="5">
      <x:c r="A5" s="30" t="str">
        <x:v>Detected changes</x:v>
      </x:c>
      <x:c r="B5" s="31" t="n">
        <x:f>COUNTA('Changes'!$A$5:$A$17)</x:f>
        <x:v>13</x:v>
      </x:c>
      <x:c r="D5" t="str">
        <x:v>High</x:v>
      </x:c>
      <x:c r="E5" t="n">
        <x:f>B6</x:f>
        <x:v>8</x:v>
      </x:c>
    </x:row>
    <x:row r="6">
      <x:c r="A6" s="32" t="str">
        <x:v>High risk</x:v>
      </x:c>
      <x:c r="B6" s="33" t="n">
        <x:f>COUNTIF('Changes'!$E$5:$E$17,"high")</x:f>
        <x:v>8</x:v>
      </x:c>
      <x:c r="D6" t="str">
        <x:v>Medium</x:v>
      </x:c>
      <x:c r="E6" t="n">
        <x:f>B7</x:f>
        <x:v>5</x:v>
      </x:c>
    </x:row>
    <x:row r="7">
      <x:c r="A7" s="32" t="str">
        <x:v>Medium risk</x:v>
      </x:c>
      <x:c r="B7" s="33" t="n">
        <x:f>COUNTIF('Changes'!$E$5:$E$17,"medium")</x:f>
        <x:v>5</x:v>
      </x:c>
      <x:c r="D7" t="str">
        <x:v>Low</x:v>
      </x:c>
      <x:c r="E7" t="n">
        <x:f>B8</x:f>
        <x:v>0</x:v>
      </x:c>
    </x:row>
    <x:row r="8">
      <x:c r="A8" s="32" t="str">
        <x:v>Low risk</x:v>
      </x:c>
      <x:c r="B8" s="33" t="n">
        <x:f>COUNTIF('Changes'!$E$5:$E$17,"low")</x:f>
        <x:v>0</x:v>
      </x:c>
    </x:row>
    <x:row r="9">
      <x:c r="A9" s="34" t="str">
        <x:v>Pending review</x:v>
      </x:c>
      <x:c r="B9" s="35" t="n">
        <x:f>COUNTIF('Changes'!$H$5:$H$17,"pending")</x:f>
        <x:v>13</x:v>
      </x:c>
    </x:row>
    <x:row r="11" ht="70" customHeight="1">
      <x:c r="A11" s="39" t="str">
        <x:v>Review high-risk changes first. Confirm source text and business impact before approval or downstream use.</x:v>
      </x:c>
    </x:row>
  </x:sheetData>
  <x:mergeCells>
    <x:mergeCell ref="A1:H1"/>
    <x:mergeCell ref="A2:H2"/>
    <x:mergeCell ref="A11:B14"/>
  </x:mergeCells>
  <x:pageMargins left="0.7" right="0.7" top="0.75" bottom="0.75" header="0.3" footer="0.3"/>
  <x:drawing xmlns:r="http://schemas.openxmlformats.org/officeDocument/2006/relationships" r:id="R0d1763127ff5472b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34" hidden="0" customWidth="1"/>
    <x:col min="4" max="4" width="34" hidden="0" customWidth="1"/>
    <x:col min="5" max="5" width="15" hidden="0" customWidth="1"/>
    <x:col min="6" max="6" width="48" hidden="0" customWidth="1"/>
    <x:col min="7" max="7" width="22" hidden="0" customWidth="1"/>
    <x:col min="8" max="8" width="18" hidden="0" customWidth="1"/>
  </x:cols>
  <x:sheetData>
    <x:row r="1" ht="34" customHeight="1">
      <x:c r="A1" s="3" t="str">
        <x:v>Detected Changes</x:v>
      </x:c>
    </x:row>
    <x:row r="2" ht="30" customHeight="1">
      <x:c r="A2" s="6" t="str">
        <x:v>Before/after comparison with source locators and explicit review state.</x:v>
      </x:c>
    </x:row>
    <x:row r="4" ht="28" customHeight="1">
      <x:c r="A4" s="15" t="str">
        <x:v>Source ID</x:v>
      </x:c>
      <x:c r="B4" s="16" t="str">
        <x:v>Field</x:v>
      </x:c>
      <x:c r="C4" s="16" t="str">
        <x:v>Old Value</x:v>
      </x:c>
      <x:c r="D4" s="16" t="str">
        <x:v>New Value</x:v>
      </x:c>
      <x:c r="E4" s="16" t="str">
        <x:v>Risk Level</x:v>
      </x:c>
      <x:c r="F4" s="16" t="str">
        <x:v>Rationale</x:v>
      </x:c>
      <x:c r="G4" s="16" t="str">
        <x:v>Source Locator</x:v>
      </x:c>
      <x:c r="H4" s="17" t="str">
        <x:v>Review Status</x:v>
      </x:c>
    </x:row>
    <x:row r="5">
      <x:c r="A5" s="23" t="str">
        <x:v>controls.csv</x:v>
      </x:c>
      <x:c r="B5" s="23" t="str">
        <x:v>row[1].Threshold</x:v>
      </x:c>
      <x:c r="C5" s="23" t="str">
        <x:v>8 hours</x:v>
      </x:c>
      <x:c r="D5" s="23" t="str">
        <x:v>4 hours</x:v>
      </x:c>
      <x:c r="E5" s="23" t="str">
        <x:v>high</x:v>
      </x:c>
      <x:c r="F5" s="23" t="str">
        <x:v>Value changed; confirm the revised value against the source.</x:v>
      </x:c>
      <x:c r="G5" s="23" t="str">
        <x:v>controls.csv / row[1].Threshold</x:v>
      </x:c>
      <x:c r="H5" s="23" t="str">
        <x:v>pending</x:v>
      </x:c>
    </x:row>
    <x:row r="6">
      <x:c r="A6" s="24" t="str">
        <x:v>controls.csv</x:v>
      </x:c>
      <x:c r="B6" s="24" t="str">
        <x:v>row[2].Threshold</x:v>
      </x:c>
      <x:c r="C6" s="24" t="str">
        <x:v>10 cases</x:v>
      </x:c>
      <x:c r="D6" s="24" t="str">
        <x:v>5 cases</x:v>
      </x:c>
      <x:c r="E6" s="24" t="str">
        <x:v>high</x:v>
      </x:c>
      <x:c r="F6" s="24" t="str">
        <x:v>Value changed; confirm the revised value against the source.</x:v>
      </x:c>
      <x:c r="G6" s="24" t="str">
        <x:v>controls.csv / row[2].Threshold</x:v>
      </x:c>
      <x:c r="H6" s="24" t="str">
        <x:v>pending</x:v>
      </x:c>
    </x:row>
    <x:row r="7">
      <x:c r="A7" s="24" t="str">
        <x:v>escalation.txt</x:v>
      </x:c>
      <x:c r="B7" s="24" t="str">
        <x:v>Final Approval Role</x:v>
      </x:c>
      <x:c r="C7" s="24" t="str">
        <x:v>Quality Manager</x:v>
      </x:c>
      <x:c r="D7" s="24" t="str">
        <x:v>Quality Director</x:v>
      </x:c>
      <x:c r="E7" s="24" t="str">
        <x:v>high</x:v>
      </x:c>
      <x:c r="F7" s="24" t="str">
        <x:v>Value changed; confirm the revised value against the source.</x:v>
      </x:c>
      <x:c r="G7" s="24" t="str">
        <x:v>escalation.txt / Final Approval Role</x:v>
      </x:c>
      <x:c r="H7" s="24" t="str">
        <x:v>pending</x:v>
      </x:c>
    </x:row>
    <x:row r="8">
      <x:c r="A8" s="24" t="str">
        <x:v>escalation.txt</x:v>
      </x:c>
      <x:c r="B8" s="24" t="str">
        <x:v>Incident Escalation Hours</x:v>
      </x:c>
      <x:c r="C8" s="24" t="str">
        <x:v>24</x:v>
      </x:c>
      <x:c r="D8" s="24" t="str">
        <x:v>12</x:v>
      </x:c>
      <x:c r="E8" s="24" t="str">
        <x:v>medium</x:v>
      </x:c>
      <x:c r="F8" s="24" t="str">
        <x:v>Value changed; confirm the revised value against the source.</x:v>
      </x:c>
      <x:c r="G8" s="24" t="str">
        <x:v>escalation.txt / Incident Escalation Hours</x:v>
      </x:c>
      <x:c r="H8" s="24" t="str">
        <x:v>pending</x:v>
      </x:c>
    </x:row>
    <x:row r="9">
      <x:c r="A9" s="24" t="str">
        <x:v>escalation.txt</x:v>
      </x:c>
      <x:c r="B9" s="24" t="str">
        <x:v>Log Retention Days</x:v>
      </x:c>
      <x:c r="C9" s="24" t="str">
        <x:v>90</x:v>
      </x:c>
      <x:c r="D9" s="24" t="str">
        <x:v>180</x:v>
      </x:c>
      <x:c r="E9" s="24" t="str">
        <x:v>high</x:v>
      </x:c>
      <x:c r="F9" s="24" t="str">
        <x:v>Value changed; confirm the revised value against the source.</x:v>
      </x:c>
      <x:c r="G9" s="24" t="str">
        <x:v>escalation.txt / Log Retention Days</x:v>
      </x:c>
      <x:c r="H9" s="24" t="str">
        <x:v>pending</x:v>
      </x:c>
    </x:row>
    <x:row r="10">
      <x:c r="A10" s="24" t="str">
        <x:v>policy.md</x:v>
      </x:c>
      <x:c r="B10" s="24" t="str">
        <x:v>Effective Date</x:v>
      </x:c>
      <x:c r="C10" s="24" t="str">
        <x:v>2026-01-01</x:v>
      </x:c>
      <x:c r="D10" s="24" t="str">
        <x:v>2026-07-01</x:v>
      </x:c>
      <x:c r="E10" s="24" t="str">
        <x:v>high</x:v>
      </x:c>
      <x:c r="F10" s="24" t="str">
        <x:v>Value changed; confirm the revised value against the source.</x:v>
      </x:c>
      <x:c r="G10" s="24" t="str">
        <x:v>policy.md / Effective Date</x:v>
      </x:c>
      <x:c r="H10" s="24" t="str">
        <x:v>pending</x:v>
      </x:c>
    </x:row>
    <x:row r="11">
      <x:c r="A11" s="24" t="str">
        <x:v>policy.md</x:v>
      </x:c>
      <x:c r="B11" s="24" t="str">
        <x:v>Exception Approval</x:v>
      </x:c>
      <x:c r="C11" s="24" t="str">
        <x:v>Quality Manager</x:v>
      </x:c>
      <x:c r="D11" s="24" t="str">
        <x:v>Quality Director</x:v>
      </x:c>
      <x:c r="E11" s="24" t="str">
        <x:v>high</x:v>
      </x:c>
      <x:c r="F11" s="24" t="str">
        <x:v>Value changed; confirm the revised value against the source.</x:v>
      </x:c>
      <x:c r="G11" s="24" t="str">
        <x:v>policy.md / Exception Approval</x:v>
      </x:c>
      <x:c r="H11" s="24" t="str">
        <x:v>pending</x:v>
      </x:c>
    </x:row>
    <x:row r="12">
      <x:c r="A12" s="24" t="str">
        <x:v>policy.md</x:v>
      </x:c>
      <x:c r="B12" s="24" t="str">
        <x:v>Retention Years</x:v>
      </x:c>
      <x:c r="C12" s="24" t="str">
        <x:v>5</x:v>
      </x:c>
      <x:c r="D12" s="24" t="str">
        <x:v>7</x:v>
      </x:c>
      <x:c r="E12" s="24" t="str">
        <x:v>high</x:v>
      </x:c>
      <x:c r="F12" s="24" t="str">
        <x:v>Value changed; confirm the revised value against the source.</x:v>
      </x:c>
      <x:c r="G12" s="24" t="str">
        <x:v>policy.md / Retention Years</x:v>
      </x:c>
      <x:c r="H12" s="24" t="str">
        <x:v>pending</x:v>
      </x:c>
    </x:row>
    <x:row r="13">
      <x:c r="A13" s="24" t="str">
        <x:v>policy.md</x:v>
      </x:c>
      <x:c r="B13" s="24" t="str">
        <x:v>Review Cycle Months</x:v>
      </x:c>
      <x:c r="C13" s="24" t="str">
        <x:v>12</x:v>
      </x:c>
      <x:c r="D13" s="24" t="str">
        <x:v>6</x:v>
      </x:c>
      <x:c r="E13" s="24" t="str">
        <x:v>medium</x:v>
      </x:c>
      <x:c r="F13" s="24" t="str">
        <x:v>Value changed; confirm the revised value against the source.</x:v>
      </x:c>
      <x:c r="G13" s="24" t="str">
        <x:v>policy.md / Review Cycle Months</x:v>
      </x:c>
      <x:c r="H13" s="24" t="str">
        <x:v>pending</x:v>
      </x:c>
    </x:row>
    <x:row r="14">
      <x:c r="A14" s="24" t="str">
        <x:v>registry.json</x:v>
      </x:c>
      <x:c r="B14" s="24" t="str">
        <x:v>registry_version</x:v>
      </x:c>
      <x:c r="C14" s="24" t="str">
        <x:v>1.0</x:v>
      </x:c>
      <x:c r="D14" s="24" t="str">
        <x:v>1.1</x:v>
      </x:c>
      <x:c r="E14" s="24" t="str">
        <x:v>medium</x:v>
      </x:c>
      <x:c r="F14" s="24" t="str">
        <x:v>Value changed; confirm the revised value against the source.</x:v>
      </x:c>
      <x:c r="G14" s="24" t="str">
        <x:v>registry.json / registry_version</x:v>
      </x:c>
      <x:c r="H14" s="24" t="str">
        <x:v>pending</x:v>
      </x:c>
    </x:row>
    <x:row r="15">
      <x:c r="A15" s="24" t="str">
        <x:v>registry.json</x:v>
      </x:c>
      <x:c r="B15" s="24" t="str">
        <x:v>release.max_open_deviations</x:v>
      </x:c>
      <x:c r="C15" s="24" t="str">
        <x:v>5</x:v>
      </x:c>
      <x:c r="D15" s="24" t="str">
        <x:v>3</x:v>
      </x:c>
      <x:c r="E15" s="24" t="str">
        <x:v>medium</x:v>
      </x:c>
      <x:c r="F15" s="24" t="str">
        <x:v>Value changed; confirm the revised value against the source.</x:v>
      </x:c>
      <x:c r="G15" s="24" t="str">
        <x:v>registry.json / release.max_open_deviations</x:v>
      </x:c>
      <x:c r="H15" s="24" t="str">
        <x:v>pending</x:v>
      </x:c>
    </x:row>
    <x:row r="16">
      <x:c r="A16" s="24" t="str">
        <x:v>registry.json</x:v>
      </x:c>
      <x:c r="B16" s="24" t="str">
        <x:v>release.requires_dual_approval</x:v>
      </x:c>
      <x:c r="C16" s="24" t="str">
        <x:v>false</x:v>
      </x:c>
      <x:c r="D16" s="24" t="str">
        <x:v>true</x:v>
      </x:c>
      <x:c r="E16" s="24" t="str">
        <x:v>high</x:v>
      </x:c>
      <x:c r="F16" s="24" t="str">
        <x:v>Value changed; confirm the revised value against the source.</x:v>
      </x:c>
      <x:c r="G16" s="24" t="str">
        <x:v>registry.json / release.requires_dual_approval</x:v>
      </x:c>
      <x:c r="H16" s="24" t="str">
        <x:v>pending</x:v>
      </x:c>
    </x:row>
    <x:row r="17">
      <x:c r="A17" s="24" t="str">
        <x:v>registry.json</x:v>
      </x:c>
      <x:c r="B17" s="24" t="str">
        <x:v>status</x:v>
      </x:c>
      <x:c r="C17" s="24" t="str">
        <x:v>pilot</x:v>
      </x:c>
      <x:c r="D17" s="24" t="str">
        <x:v>controlled-release</x:v>
      </x:c>
      <x:c r="E17" s="24" t="str">
        <x:v>medium</x:v>
      </x:c>
      <x:c r="F17" s="24" t="str">
        <x:v>Value changed; confirm the revised value against the source.</x:v>
      </x:c>
      <x:c r="G17" s="24" t="str">
        <x:v>registry.json / status</x:v>
      </x:c>
      <x:c r="H17" s="24" t="str">
        <x:v>pending</x:v>
      </x:c>
    </x:row>
  </x:sheetData>
  <x:mergeCells>
    <x:mergeCell ref="A1:H1"/>
    <x:mergeCell ref="A2:H2"/>
  </x:mergeCells>
  <x:conditionalFormatting sqref="E5:E17">
    <x:cfRule type="containsText" dxfId="0" priority="1" operator="containsText" text="high"/>
    <x:cfRule type="containsText" dxfId="1" priority="2" operator="containsText" text="medium"/>
    <x:cfRule type="containsText" dxfId="2" priority="3" operator="containsText" text="low"/>
  </x:conditionalFormatting>
  <x:dataValidations count="2">
    <x:dataValidation type="list" sqref="E5:E17">
      <x:formula1>"low,medium,high"</x:formula1>
    </x:dataValidation>
    <x:dataValidation type="list" sqref="H5:H17">
      <x:formula1>"pending,approved,rejected"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261418de524c9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30" hidden="0" customWidth="1"/>
    <x:col min="4" max="4" width="30" hidden="0" customWidth="1"/>
    <x:col min="5" max="5" width="13" hidden="0" customWidth="1"/>
    <x:col min="6" max="6" width="42" hidden="0" customWidth="1"/>
    <x:col min="7" max="7" width="20" hidden="0" customWidth="1"/>
    <x:col min="8" max="8" width="16" hidden="0" customWidth="1"/>
    <x:col min="9" max="9" width="18" hidden="0" customWidth="1"/>
    <x:col min="10" max="10" width="42" hidden="0" customWidth="1"/>
  </x:cols>
  <x:sheetData>
    <x:row r="1" ht="34" customHeight="1">
      <x:c r="A1" s="3" t="str">
        <x:v>Human Review Queue</x:v>
      </x:c>
    </x:row>
    <x:row r="2" ht="30" customHeight="1">
      <x:c r="A2" s="6" t="str">
        <x:v>Confirm source, impact, and decision before any downstream action.</x:v>
      </x:c>
    </x:row>
    <x:row r="4" ht="28" customHeight="1">
      <x:c r="A4" s="15" t="str">
        <x:v>Source ID</x:v>
      </x:c>
      <x:c r="B4" s="16" t="str">
        <x:v>Field</x:v>
      </x:c>
      <x:c r="C4" s="16" t="str">
        <x:v>Old Value</x:v>
      </x:c>
      <x:c r="D4" s="16" t="str">
        <x:v>New Value</x:v>
      </x:c>
      <x:c r="E4" s="16" t="str">
        <x:v>Risk Level</x:v>
      </x:c>
      <x:c r="F4" s="16" t="str">
        <x:v>Rationale</x:v>
      </x:c>
      <x:c r="G4" s="16" t="str">
        <x:v>Source Locator</x:v>
      </x:c>
      <x:c r="H4" s="16" t="str">
        <x:v>Review Status</x:v>
      </x:c>
      <x:c r="I4" s="16" t="str">
        <x:v>Reviewer Decision</x:v>
      </x:c>
      <x:c r="J4" s="17" t="str">
        <x:v>Reviewer Note</x:v>
      </x:c>
    </x:row>
    <x:row r="5">
      <x:c r="A5" s="23" t="str">
        <x:v>controls.csv</x:v>
      </x:c>
      <x:c r="B5" s="23" t="str">
        <x:v>row[1].Threshold</x:v>
      </x:c>
      <x:c r="C5" s="23" t="str">
        <x:v>8 hours</x:v>
      </x:c>
      <x:c r="D5" s="23" t="str">
        <x:v>4 hours</x:v>
      </x:c>
      <x:c r="E5" s="23" t="str">
        <x:v>high</x:v>
      </x:c>
      <x:c r="F5" s="23" t="str">
        <x:v>Value changed; confirm the revised value against the source.</x:v>
      </x:c>
      <x:c r="G5" s="23" t="str">
        <x:v>controls.csv / row[1].Threshold</x:v>
      </x:c>
      <x:c r="H5" s="23" t="str">
        <x:v>pending</x:v>
      </x:c>
      <x:c r="I5" s="23" t="str">
        <x:v>pending</x:v>
      </x:c>
      <x:c r="J5" s="23" t="str"/>
    </x:row>
    <x:row r="6">
      <x:c r="A6" s="24" t="str">
        <x:v>controls.csv</x:v>
      </x:c>
      <x:c r="B6" s="24" t="str">
        <x:v>row[2].Threshold</x:v>
      </x:c>
      <x:c r="C6" s="24" t="str">
        <x:v>10 cases</x:v>
      </x:c>
      <x:c r="D6" s="24" t="str">
        <x:v>5 cases</x:v>
      </x:c>
      <x:c r="E6" s="24" t="str">
        <x:v>high</x:v>
      </x:c>
      <x:c r="F6" s="24" t="str">
        <x:v>Value changed; confirm the revised value against the source.</x:v>
      </x:c>
      <x:c r="G6" s="24" t="str">
        <x:v>controls.csv / row[2].Threshold</x:v>
      </x:c>
      <x:c r="H6" s="24" t="str">
        <x:v>pending</x:v>
      </x:c>
      <x:c r="I6" s="24" t="str">
        <x:v>pending</x:v>
      </x:c>
      <x:c r="J6" s="24" t="str"/>
    </x:row>
    <x:row r="7">
      <x:c r="A7" s="24" t="str">
        <x:v>escalation.txt</x:v>
      </x:c>
      <x:c r="B7" s="24" t="str">
        <x:v>Final Approval Role</x:v>
      </x:c>
      <x:c r="C7" s="24" t="str">
        <x:v>Quality Manager</x:v>
      </x:c>
      <x:c r="D7" s="24" t="str">
        <x:v>Quality Director</x:v>
      </x:c>
      <x:c r="E7" s="24" t="str">
        <x:v>high</x:v>
      </x:c>
      <x:c r="F7" s="24" t="str">
        <x:v>Value changed; confirm the revised value against the source.</x:v>
      </x:c>
      <x:c r="G7" s="24" t="str">
        <x:v>escalation.txt / Final Approval Role</x:v>
      </x:c>
      <x:c r="H7" s="24" t="str">
        <x:v>pending</x:v>
      </x:c>
      <x:c r="I7" s="24" t="str">
        <x:v>pending</x:v>
      </x:c>
      <x:c r="J7" s="24" t="str"/>
    </x:row>
    <x:row r="8">
      <x:c r="A8" s="24" t="str">
        <x:v>escalation.txt</x:v>
      </x:c>
      <x:c r="B8" s="24" t="str">
        <x:v>Incident Escalation Hours</x:v>
      </x:c>
      <x:c r="C8" s="24" t="str">
        <x:v>24</x:v>
      </x:c>
      <x:c r="D8" s="24" t="str">
        <x:v>12</x:v>
      </x:c>
      <x:c r="E8" s="24" t="str">
        <x:v>medium</x:v>
      </x:c>
      <x:c r="F8" s="24" t="str">
        <x:v>Value changed; confirm the revised value against the source.</x:v>
      </x:c>
      <x:c r="G8" s="24" t="str">
        <x:v>escalation.txt / Incident Escalation Hours</x:v>
      </x:c>
      <x:c r="H8" s="24" t="str">
        <x:v>pending</x:v>
      </x:c>
      <x:c r="I8" s="24" t="str">
        <x:v>pending</x:v>
      </x:c>
      <x:c r="J8" s="24" t="str"/>
    </x:row>
    <x:row r="9">
      <x:c r="A9" s="24" t="str">
        <x:v>escalation.txt</x:v>
      </x:c>
      <x:c r="B9" s="24" t="str">
        <x:v>Log Retention Days</x:v>
      </x:c>
      <x:c r="C9" s="24" t="str">
        <x:v>90</x:v>
      </x:c>
      <x:c r="D9" s="24" t="str">
        <x:v>180</x:v>
      </x:c>
      <x:c r="E9" s="24" t="str">
        <x:v>high</x:v>
      </x:c>
      <x:c r="F9" s="24" t="str">
        <x:v>Value changed; confirm the revised value against the source.</x:v>
      </x:c>
      <x:c r="G9" s="24" t="str">
        <x:v>escalation.txt / Log Retention Days</x:v>
      </x:c>
      <x:c r="H9" s="24" t="str">
        <x:v>pending</x:v>
      </x:c>
      <x:c r="I9" s="24" t="str">
        <x:v>pending</x:v>
      </x:c>
      <x:c r="J9" s="24" t="str"/>
    </x:row>
    <x:row r="10">
      <x:c r="A10" s="24" t="str">
        <x:v>policy.md</x:v>
      </x:c>
      <x:c r="B10" s="24" t="str">
        <x:v>Effective Date</x:v>
      </x:c>
      <x:c r="C10" s="24" t="str">
        <x:v>2026-01-01</x:v>
      </x:c>
      <x:c r="D10" s="24" t="str">
        <x:v>2026-07-01</x:v>
      </x:c>
      <x:c r="E10" s="24" t="str">
        <x:v>high</x:v>
      </x:c>
      <x:c r="F10" s="24" t="str">
        <x:v>Value changed; confirm the revised value against the source.</x:v>
      </x:c>
      <x:c r="G10" s="24" t="str">
        <x:v>policy.md / Effective Date</x:v>
      </x:c>
      <x:c r="H10" s="24" t="str">
        <x:v>pending</x:v>
      </x:c>
      <x:c r="I10" s="24" t="str">
        <x:v>pending</x:v>
      </x:c>
      <x:c r="J10" s="24" t="str"/>
    </x:row>
    <x:row r="11">
      <x:c r="A11" s="24" t="str">
        <x:v>policy.md</x:v>
      </x:c>
      <x:c r="B11" s="24" t="str">
        <x:v>Exception Approval</x:v>
      </x:c>
      <x:c r="C11" s="24" t="str">
        <x:v>Quality Manager</x:v>
      </x:c>
      <x:c r="D11" s="24" t="str">
        <x:v>Quality Director</x:v>
      </x:c>
      <x:c r="E11" s="24" t="str">
        <x:v>high</x:v>
      </x:c>
      <x:c r="F11" s="24" t="str">
        <x:v>Value changed; confirm the revised value against the source.</x:v>
      </x:c>
      <x:c r="G11" s="24" t="str">
        <x:v>policy.md / Exception Approval</x:v>
      </x:c>
      <x:c r="H11" s="24" t="str">
        <x:v>pending</x:v>
      </x:c>
      <x:c r="I11" s="24" t="str">
        <x:v>pending</x:v>
      </x:c>
      <x:c r="J11" s="24" t="str"/>
    </x:row>
    <x:row r="12">
      <x:c r="A12" s="24" t="str">
        <x:v>policy.md</x:v>
      </x:c>
      <x:c r="B12" s="24" t="str">
        <x:v>Retention Years</x:v>
      </x:c>
      <x:c r="C12" s="24" t="str">
        <x:v>5</x:v>
      </x:c>
      <x:c r="D12" s="24" t="str">
        <x:v>7</x:v>
      </x:c>
      <x:c r="E12" s="24" t="str">
        <x:v>high</x:v>
      </x:c>
      <x:c r="F12" s="24" t="str">
        <x:v>Value changed; confirm the revised value against the source.</x:v>
      </x:c>
      <x:c r="G12" s="24" t="str">
        <x:v>policy.md / Retention Years</x:v>
      </x:c>
      <x:c r="H12" s="24" t="str">
        <x:v>pending</x:v>
      </x:c>
      <x:c r="I12" s="24" t="str">
        <x:v>pending</x:v>
      </x:c>
      <x:c r="J12" s="24" t="str"/>
    </x:row>
    <x:row r="13">
      <x:c r="A13" s="24" t="str">
        <x:v>policy.md</x:v>
      </x:c>
      <x:c r="B13" s="24" t="str">
        <x:v>Review Cycle Months</x:v>
      </x:c>
      <x:c r="C13" s="24" t="str">
        <x:v>12</x:v>
      </x:c>
      <x:c r="D13" s="24" t="str">
        <x:v>6</x:v>
      </x:c>
      <x:c r="E13" s="24" t="str">
        <x:v>medium</x:v>
      </x:c>
      <x:c r="F13" s="24" t="str">
        <x:v>Value changed; confirm the revised value against the source.</x:v>
      </x:c>
      <x:c r="G13" s="24" t="str">
        <x:v>policy.md / Review Cycle Months</x:v>
      </x:c>
      <x:c r="H13" s="24" t="str">
        <x:v>pending</x:v>
      </x:c>
      <x:c r="I13" s="24" t="str">
        <x:v>pending</x:v>
      </x:c>
      <x:c r="J13" s="24" t="str"/>
    </x:row>
    <x:row r="14">
      <x:c r="A14" s="24" t="str">
        <x:v>registry.json</x:v>
      </x:c>
      <x:c r="B14" s="24" t="str">
        <x:v>registry_version</x:v>
      </x:c>
      <x:c r="C14" s="24" t="str">
        <x:v>1.0</x:v>
      </x:c>
      <x:c r="D14" s="24" t="str">
        <x:v>1.1</x:v>
      </x:c>
      <x:c r="E14" s="24" t="str">
        <x:v>medium</x:v>
      </x:c>
      <x:c r="F14" s="24" t="str">
        <x:v>Value changed; confirm the revised value against the source.</x:v>
      </x:c>
      <x:c r="G14" s="24" t="str">
        <x:v>registry.json / registry_version</x:v>
      </x:c>
      <x:c r="H14" s="24" t="str">
        <x:v>pending</x:v>
      </x:c>
      <x:c r="I14" s="24" t="str">
        <x:v>pending</x:v>
      </x:c>
      <x:c r="J14" s="24" t="str"/>
    </x:row>
    <x:row r="15">
      <x:c r="A15" s="24" t="str">
        <x:v>registry.json</x:v>
      </x:c>
      <x:c r="B15" s="24" t="str">
        <x:v>release.max_open_deviations</x:v>
      </x:c>
      <x:c r="C15" s="24" t="str">
        <x:v>5</x:v>
      </x:c>
      <x:c r="D15" s="24" t="str">
        <x:v>3</x:v>
      </x:c>
      <x:c r="E15" s="24" t="str">
        <x:v>medium</x:v>
      </x:c>
      <x:c r="F15" s="24" t="str">
        <x:v>Value changed; confirm the revised value against the source.</x:v>
      </x:c>
      <x:c r="G15" s="24" t="str">
        <x:v>registry.json / release.max_open_deviations</x:v>
      </x:c>
      <x:c r="H15" s="24" t="str">
        <x:v>pending</x:v>
      </x:c>
      <x:c r="I15" s="24" t="str">
        <x:v>pending</x:v>
      </x:c>
      <x:c r="J15" s="24" t="str"/>
    </x:row>
    <x:row r="16">
      <x:c r="A16" s="24" t="str">
        <x:v>registry.json</x:v>
      </x:c>
      <x:c r="B16" s="24" t="str">
        <x:v>release.requires_dual_approval</x:v>
      </x:c>
      <x:c r="C16" s="24" t="str">
        <x:v>false</x:v>
      </x:c>
      <x:c r="D16" s="24" t="str">
        <x:v>true</x:v>
      </x:c>
      <x:c r="E16" s="24" t="str">
        <x:v>high</x:v>
      </x:c>
      <x:c r="F16" s="24" t="str">
        <x:v>Value changed; confirm the revised value against the source.</x:v>
      </x:c>
      <x:c r="G16" s="24" t="str">
        <x:v>registry.json / release.requires_dual_approval</x:v>
      </x:c>
      <x:c r="H16" s="24" t="str">
        <x:v>pending</x:v>
      </x:c>
      <x:c r="I16" s="24" t="str">
        <x:v>pending</x:v>
      </x:c>
      <x:c r="J16" s="24" t="str"/>
    </x:row>
    <x:row r="17">
      <x:c r="A17" s="24" t="str">
        <x:v>registry.json</x:v>
      </x:c>
      <x:c r="B17" s="24" t="str">
        <x:v>status</x:v>
      </x:c>
      <x:c r="C17" s="24" t="str">
        <x:v>pilot</x:v>
      </x:c>
      <x:c r="D17" s="24" t="str">
        <x:v>controlled-release</x:v>
      </x:c>
      <x:c r="E17" s="24" t="str">
        <x:v>medium</x:v>
      </x:c>
      <x:c r="F17" s="24" t="str">
        <x:v>Value changed; confirm the revised value against the source.</x:v>
      </x:c>
      <x:c r="G17" s="24" t="str">
        <x:v>registry.json / status</x:v>
      </x:c>
      <x:c r="H17" s="24" t="str">
        <x:v>pending</x:v>
      </x:c>
      <x:c r="I17" s="24" t="str">
        <x:v>pending</x:v>
      </x:c>
      <x:c r="J17" s="24" t="str"/>
    </x:row>
  </x:sheetData>
  <x:mergeCells>
    <x:mergeCell ref="A1:J1"/>
    <x:mergeCell ref="A2:J2"/>
  </x:mergeCells>
  <x:dataValidations count="1">
    <x:dataValidation type="list" sqref="I5:I17">
      <x:formula1>"pending,approved,rejected"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215bebf41d417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2" hidden="0" customWidth="1"/>
    <x:col min="3" max="3" width="18" hidden="0" customWidth="1"/>
    <x:col min="4" max="4" width="20" hidden="0" customWidth="1"/>
    <x:col min="5" max="5" width="34" hidden="0" customWidth="1"/>
    <x:col min="6" max="6" width="14" hidden="0" customWidth="1"/>
    <x:col min="7" max="7" width="60" hidden="0" customWidth="1"/>
  </x:cols>
  <x:sheetData>
    <x:row r="1" ht="34" customHeight="1">
      <x:c r="A1" s="3" t="str">
        <x:v>Audit Trail</x:v>
      </x:c>
    </x:row>
    <x:row r="2" ht="30" customHeight="1">
      <x:c r="A2" s="6" t="str">
        <x:v>Run metadata only. Credentials and full environment values are intentionally excluded.</x:v>
      </x:c>
    </x:row>
    <x:row r="4" ht="28" customHeight="1">
      <x:c r="A4" s="15" t="str">
        <x:v>Timestamp</x:v>
      </x:c>
      <x:c r="B4" s="16" t="str">
        <x:v>Event</x:v>
      </x:c>
      <x:c r="C4" s="16" t="str">
        <x:v>Command</x:v>
      </x:c>
      <x:c r="D4" s="16" t="str">
        <x:v>Source ID</x:v>
      </x:c>
      <x:c r="E4" s="16" t="str">
        <x:v>Input Hash</x:v>
      </x:c>
      <x:c r="F4" s="16" t="str">
        <x:v>Record Count</x:v>
      </x:c>
      <x:c r="G4" s="17" t="str">
        <x:v>Details</x:v>
      </x:c>
    </x:row>
    <x:row r="5">
      <x:c r="A5" s="25" t="n">
        <x:v>46260.22632657408</x:v>
      </x:c>
      <x:c r="B5" s="23" t="str">
        <x:v>run_started</x:v>
      </x:c>
      <x:c r="C5" s="23" t="str">
        <x:v>diff</x:v>
      </x:c>
      <x:c r="D5" s="23" t="str"/>
      <x:c r="E5" s="23" t="str"/>
      <x:c r="F5" s="27" t="n">
        <x:v>0</x:v>
      </x:c>
      <x:c r="G5" s="23" t="str">
        <x:v>{"network_mode":"offline"}</x:v>
      </x:c>
    </x:row>
    <x:row r="6">
      <x:c r="A6" s="26" t="n">
        <x:v>46260.22632657408</x:v>
      </x:c>
      <x:c r="B6" s="24" t="str">
        <x:v>document_parsed</x:v>
      </x:c>
      <x:c r="C6" s="24" t="str"/>
      <x:c r="D6" s="24" t="str">
        <x:v>controls.csv</x:v>
      </x:c>
      <x:c r="E6" s="24" t="str">
        <x:v>ae0c0ba0d985c0c2c258471f03c3d96d75bf23743b1f3f464b1992c580088ef3</x:v>
      </x:c>
      <x:c r="F6" s="28" t="n">
        <x:v>10</x:v>
      </x:c>
      <x:c r="G6" s="24" t="str">
        <x:v>{"input_role":"old","format":"csv","byte_size":169}</x:v>
      </x:c>
    </x:row>
    <x:row r="7">
      <x:c r="A7" s="26" t="n">
        <x:v>46260.22632657408</x:v>
      </x:c>
      <x:c r="B7" s="24" t="str">
        <x:v>document_parsed</x:v>
      </x:c>
      <x:c r="C7" s="24" t="str"/>
      <x:c r="D7" s="24" t="str">
        <x:v>escalation.txt</x:v>
      </x:c>
      <x:c r="E7" s="24" t="str">
        <x:v>cad2fca3b0e466a916f835cca984945a5adff58a1dab57c36a478e87c04ecab3</x:v>
      </x:c>
      <x:c r="F7" s="28" t="n">
        <x:v>3</x:v>
      </x:c>
      <x:c r="G7" s="24" t="str">
        <x:v>{"input_role":"old","format":"txt","byte_size":90}</x:v>
      </x:c>
    </x:row>
    <x:row r="8">
      <x:c r="A8" s="26" t="n">
        <x:v>46260.22632657408</x:v>
      </x:c>
      <x:c r="B8" s="24" t="str">
        <x:v>document_parsed</x:v>
      </x:c>
      <x:c r="C8" s="24" t="str"/>
      <x:c r="D8" s="24" t="str">
        <x:v>policy.md</x:v>
      </x:c>
      <x:c r="E8" s="24" t="str">
        <x:v>1d9969650f47c8c0a70bdaacec8d14fa0bbf418bd5d5fe182f318a89ed3a7b1b</x:v>
      </x:c>
      <x:c r="F8" s="28" t="n">
        <x:v>8</x:v>
      </x:c>
      <x:c r="G8" s="24" t="str">
        <x:v>{"input_role":"old","format":"md","byte_size":278}</x:v>
      </x:c>
    </x:row>
    <x:row r="9">
      <x:c r="A9" s="26" t="n">
        <x:v>46260.22632657408</x:v>
      </x:c>
      <x:c r="B9" s="24" t="str">
        <x:v>document_parsed</x:v>
      </x:c>
      <x:c r="C9" s="24" t="str"/>
      <x:c r="D9" s="24" t="str">
        <x:v>registry.json</x:v>
      </x:c>
      <x:c r="E9" s="24" t="str">
        <x:v>c1d77c24b90c560f685344d9f492147f3113d390fa496163a115fa444be9eea9</x:v>
      </x:c>
      <x:c r="F9" s="28" t="n">
        <x:v>5</x:v>
      </x:c>
      <x:c r="G9" s="24" t="str">
        <x:v>{"input_role":"old","format":"json","byte_size":179}</x:v>
      </x:c>
    </x:row>
    <x:row r="10">
      <x:c r="A10" s="26" t="n">
        <x:v>46260.22632657408</x:v>
      </x:c>
      <x:c r="B10" s="24" t="str">
        <x:v>document_parsed</x:v>
      </x:c>
      <x:c r="C10" s="24" t="str"/>
      <x:c r="D10" s="24" t="str">
        <x:v>controls.csv</x:v>
      </x:c>
      <x:c r="E10" s="24" t="str">
        <x:v>eec1bd7c1ca1b5b6c5ee6cd489055d8c4b2e02362ebb0dce27b65e5edec252a6</x:v>
      </x:c>
      <x:c r="F10" s="28" t="n">
        <x:v>10</x:v>
      </x:c>
      <x:c r="G10" s="24" t="str">
        <x:v>{"input_role":"new","format":"csv","byte_size":168}</x:v>
      </x:c>
    </x:row>
    <x:row r="11">
      <x:c r="A11" s="26" t="n">
        <x:v>46260.22632657408</x:v>
      </x:c>
      <x:c r="B11" s="24" t="str">
        <x:v>document_parsed</x:v>
      </x:c>
      <x:c r="C11" s="24" t="str"/>
      <x:c r="D11" s="24" t="str">
        <x:v>escalation.txt</x:v>
      </x:c>
      <x:c r="E11" s="24" t="str">
        <x:v>98a28d7550362a5adc5263ef912749fe4f6335e5a3c4e66f1a9fbfdbfbec0d06</x:v>
      </x:c>
      <x:c r="F11" s="28" t="n">
        <x:v>3</x:v>
      </x:c>
      <x:c r="G11" s="24" t="str">
        <x:v>{"input_role":"new","format":"txt","byte_size":92}</x:v>
      </x:c>
    </x:row>
    <x:row r="12">
      <x:c r="A12" s="26" t="n">
        <x:v>46260.22632657408</x:v>
      </x:c>
      <x:c r="B12" s="24" t="str">
        <x:v>document_parsed</x:v>
      </x:c>
      <x:c r="C12" s="24" t="str"/>
      <x:c r="D12" s="24" t="str">
        <x:v>policy.md</x:v>
      </x:c>
      <x:c r="E12" s="24" t="str">
        <x:v>c2b0be9ff2b5cc9d3ccdab6fa2f99d0a9f11eb717bec45d128cd8810d09bd8e5</x:v>
      </x:c>
      <x:c r="F12" s="28" t="n">
        <x:v>8</x:v>
      </x:c>
      <x:c r="G12" s="24" t="str">
        <x:v>{"input_role":"new","format":"md","byte_size":278}</x:v>
      </x:c>
    </x:row>
    <x:row r="13">
      <x:c r="A13" s="26" t="n">
        <x:v>46260.22632657408</x:v>
      </x:c>
      <x:c r="B13" s="24" t="str">
        <x:v>document_parsed</x:v>
      </x:c>
      <x:c r="C13" s="24" t="str"/>
      <x:c r="D13" s="24" t="str">
        <x:v>registry.json</x:v>
      </x:c>
      <x:c r="E13" s="24" t="str">
        <x:v>fba566bd239545da69b86ba4362784fde0ec3f572ae99b8c6385c0abbc03fd49</x:v>
      </x:c>
      <x:c r="F13" s="28" t="n">
        <x:v>5</x:v>
      </x:c>
      <x:c r="G13" s="24" t="str">
        <x:v>{"input_role":"new","format":"json","byte_size":191}</x:v>
      </x:c>
    </x:row>
    <x:row r="14">
      <x:c r="A14" s="26" t="n">
        <x:v>46260.22632659722</x:v>
      </x:c>
      <x:c r="B14" s="24" t="str">
        <x:v>run_completed</x:v>
      </x:c>
      <x:c r="C14" s="24" t="str">
        <x:v>diff</x:v>
      </x:c>
      <x:c r="D14" s="24" t="str"/>
      <x:c r="E14" s="24" t="str"/>
      <x:c r="F14" s="28" t="n">
        <x:v>13</x:v>
      </x:c>
      <x:c r="G14" s="24" t="str">
        <x:v>{"review_required":true}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46efd14bf3a14eee"/>
  </x:tableParts>
</x:worksheet>
</file>