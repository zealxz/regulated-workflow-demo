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anges" state="visible" r:id="rId5"/>
    <sheet sheetId="3" name="Review Queue" state="visible" r:id="rId6"/>
    <sheet sheetId="4" name="Audit" state="visible" r:id="rId7"/>
  </sheets>
  <definedNames>
    <definedName name="_xlnm.Print_Titles" localSheetId="1">'Changes'!$1:$4</definedName>
    <definedName name="_xlnm.Print_Titles" localSheetId="2">'Review Queue'!$1:$4</definedName>
    <definedName name="_xlnm.Print_Titles" localSheetId="3">'Audit'!$1:$4</definedName>
  </definedNames>
  <calcPr calcId="171027" fullCalcOnLoad="1"/>
</workbook>
</file>

<file path=xl/sharedStrings.xml><?xml version="1.0" encoding="utf-8"?>
<sst xmlns="http://schemas.openxmlformats.org/spreadsheetml/2006/main" count="340" uniqueCount="118">
  <si>
    <t>Document Change Register</t>
  </si>
  <si>
    <t>Risk levels are deterministic review hints, not compliance conclusions.</t>
  </si>
  <si>
    <t>Metric</t>
  </si>
  <si>
    <t>Value</t>
  </si>
  <si>
    <t>Risk</t>
  </si>
  <si>
    <t>Count</t>
  </si>
  <si>
    <t>Detected changes</t>
  </si>
  <si>
    <t>High</t>
  </si>
  <si>
    <t>High risk</t>
  </si>
  <si>
    <t>Medium</t>
  </si>
  <si>
    <t>Medium risk</t>
  </si>
  <si>
    <t>Low</t>
  </si>
  <si>
    <t>Low risk</t>
  </si>
  <si>
    <t>Pending review</t>
  </si>
  <si>
    <t>Review high-risk changes first. Confirm source text and business impact before approval or downstream use.</t>
  </si>
  <si>
    <t>Detected Changes</t>
  </si>
  <si>
    <t>Before/after comparison with source locators and explicit review state.</t>
  </si>
  <si>
    <t>Source ID</t>
  </si>
  <si>
    <t>Field</t>
  </si>
  <si>
    <t>Old Value</t>
  </si>
  <si>
    <t>New Value</t>
  </si>
  <si>
    <t>Risk Level</t>
  </si>
  <si>
    <t>Rationale</t>
  </si>
  <si>
    <t>Source Locator</t>
  </si>
  <si>
    <t>Review Status</t>
  </si>
  <si>
    <t>controls.csv</t>
  </si>
  <si>
    <t>row[1].Threshold</t>
  </si>
  <si>
    <t>8 hours</t>
  </si>
  <si>
    <t>4 hours</t>
  </si>
  <si>
    <t>high</t>
  </si>
  <si>
    <t>Value changed; confirm the revised value against the source.</t>
  </si>
  <si>
    <t>controls.csv / row[1].Threshold</t>
  </si>
  <si>
    <t>pending</t>
  </si>
  <si>
    <t>row[2].Threshold</t>
  </si>
  <si>
    <t>10 cases</t>
  </si>
  <si>
    <t>5 cases</t>
  </si>
  <si>
    <t>controls.csv / row[2].Threshold</t>
  </si>
  <si>
    <t>escalation.txt</t>
  </si>
  <si>
    <t>Final Approval Role</t>
  </si>
  <si>
    <t>Quality Manager</t>
  </si>
  <si>
    <t>Quality Director</t>
  </si>
  <si>
    <t>escalation.txt / Final Approval Role</t>
  </si>
  <si>
    <t>Incident Escalation Hours</t>
  </si>
  <si>
    <t>24</t>
  </si>
  <si>
    <t>12</t>
  </si>
  <si>
    <t>medium</t>
  </si>
  <si>
    <t>escalation.txt / Incident Escalation Hours</t>
  </si>
  <si>
    <t>Log Retention Days</t>
  </si>
  <si>
    <t>90</t>
  </si>
  <si>
    <t>180</t>
  </si>
  <si>
    <t>escalation.txt / Log Retention Days</t>
  </si>
  <si>
    <t>policy.md</t>
  </si>
  <si>
    <t>Effective Date</t>
  </si>
  <si>
    <t>2026-01-01</t>
  </si>
  <si>
    <t>2026-07-01</t>
  </si>
  <si>
    <t>policy.md / Effective Date</t>
  </si>
  <si>
    <t>Exception Approval</t>
  </si>
  <si>
    <t>policy.md / Exception Approval</t>
  </si>
  <si>
    <t>Retention Years</t>
  </si>
  <si>
    <t>5</t>
  </si>
  <si>
    <t>7</t>
  </si>
  <si>
    <t>policy.md / Retention Years</t>
  </si>
  <si>
    <t>Review Cycle Months</t>
  </si>
  <si>
    <t>6</t>
  </si>
  <si>
    <t>policy.md / Review Cycle Months</t>
  </si>
  <si>
    <t>registry.json</t>
  </si>
  <si>
    <t>registry_version</t>
  </si>
  <si>
    <t>1.0</t>
  </si>
  <si>
    <t>1.1</t>
  </si>
  <si>
    <t>registry.json / registry_version</t>
  </si>
  <si>
    <t>release.max_open_deviations</t>
  </si>
  <si>
    <t>3</t>
  </si>
  <si>
    <t>registry.json / release.max_open_deviations</t>
  </si>
  <si>
    <t>release.requires_dual_approval</t>
  </si>
  <si>
    <t>false</t>
  </si>
  <si>
    <t>true</t>
  </si>
  <si>
    <t>registry.json / release.requires_dual_approval</t>
  </si>
  <si>
    <t>status</t>
  </si>
  <si>
    <t>pilot</t>
  </si>
  <si>
    <t>controlled-release</t>
  </si>
  <si>
    <t>registry.json / status</t>
  </si>
  <si>
    <t>Human Review Queue</t>
  </si>
  <si>
    <t>Confirm source, impact, and decision before any downstream action.</t>
  </si>
  <si>
    <t>Reviewer Decision</t>
  </si>
  <si>
    <t>Reviewer Note</t>
  </si>
  <si>
    <t/>
  </si>
  <si>
    <t>Audit Trail</t>
  </si>
  <si>
    <t>Run metadata only. Credentials and full environment values are intentionally excluded.</t>
  </si>
  <si>
    <t>Timestamp</t>
  </si>
  <si>
    <t>Event</t>
  </si>
  <si>
    <t>Command</t>
  </si>
  <si>
    <t>Input Hash</t>
  </si>
  <si>
    <t>Record Count</t>
  </si>
  <si>
    <t>Details</t>
  </si>
  <si>
    <t>2026-08-26T07:49:41.290847Z</t>
  </si>
  <si>
    <t>run_started</t>
  </si>
  <si>
    <t>diff</t>
  </si>
  <si>
    <t>{"network_mode":"offline"}</t>
  </si>
  <si>
    <t>document_parsed</t>
  </si>
  <si>
    <t>ae0c0ba0d985c0c2c258471f03c3d96d75bf23743b1f3f464b1992c580088ef3</t>
  </si>
  <si>
    <t>{"input_role":"old","format":"csv","byte_size":169}</t>
  </si>
  <si>
    <t>cad2fca3b0e466a916f835cca984945a5adff58a1dab57c36a478e87c04ecab3</t>
  </si>
  <si>
    <t>{"input_role":"old","format":"txt","byte_size":90}</t>
  </si>
  <si>
    <t>1d9969650f47c8c0a70bdaacec8d14fa0bbf418bd5d5fe182f318a89ed3a7b1b</t>
  </si>
  <si>
    <t>{"input_role":"old","format":"md","byte_size":278}</t>
  </si>
  <si>
    <t>c1d77c24b90c560f685344d9f492147f3113d390fa496163a115fa444be9eea9</t>
  </si>
  <si>
    <t>{"input_role":"old","format":"json","byte_size":179}</t>
  </si>
  <si>
    <t>eec1bd7c1ca1b5b6c5ee6cd489055d8c4b2e02362ebb0dce27b65e5edec252a6</t>
  </si>
  <si>
    <t>{"input_role":"new","format":"csv","byte_size":168}</t>
  </si>
  <si>
    <t>98a28d7550362a5adc5263ef912749fe4f6335e5a3c4e66f1a9fbfdbfbec0d06</t>
  </si>
  <si>
    <t>{"input_role":"new","format":"txt","byte_size":92}</t>
  </si>
  <si>
    <t>c2b0be9ff2b5cc9d3ccdab6fa2f99d0a9f11eb717bec45d128cd8810d09bd8e5</t>
  </si>
  <si>
    <t>{"input_role":"new","format":"md","byte_size":278}</t>
  </si>
  <si>
    <t>fba566bd239545da69b86ba4362784fde0ec3f572ae99b8c6385c0abbc03fd49</t>
  </si>
  <si>
    <t>{"input_role":"new","format":"json","byte_size":191}</t>
  </si>
  <si>
    <t>2026-08-26T07:49:41.292969Z</t>
  </si>
  <si>
    <t>run_completed</t>
  </si>
  <si>
    <t>{"review_required":true}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</si>
</sst>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5F6B76"/>
      <sz val="10"/>
    </font>
    <font>
      <b/>
      <color rgb="FFFFFFFF"/>
    </font>
    <font>
      <b/>
      <color rgb="FF8A1C1C"/>
    </font>
    <font>
      <b/>
      <color rgb="FF6B4F00"/>
    </font>
    <font>
      <b/>
      <color rgb="FF155A32"/>
    </font>
    <font>
      <color rgb="FF17212B"/>
      <sz val="10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1F8"/>
      </patternFill>
    </fill>
    <fill>
      <patternFill patternType="solid">
        <fgColor rgb="FF0F766E"/>
      </patternFill>
    </fill>
    <fill>
      <patternFill patternType="solid">
        <fgColor rgb="FFFDE8E7"/>
      </patternFill>
    </fill>
    <fill>
      <patternFill patternType="solid">
        <fgColor rgb="FFFFF4D6"/>
      </patternFill>
    </fill>
    <fill>
      <patternFill patternType="solid">
        <fgColor rgb="FFE7F5EC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2" xfId="0" applyBorder="1"/>
    <xf numFmtId="3" fontId="0" fillId="0" borderId="2" xfId="0" applyNumberFormat="1" applyBorder="1"/>
    <xf numFmtId="0" fontId="4" fillId="5" borderId="2" xfId="0" applyFont="1" applyFill="1" applyBorder="1"/>
    <xf numFmtId="0" fontId="5" fillId="6" borderId="2" xfId="0" applyFont="1" applyFill="1" applyBorder="1"/>
    <xf numFmtId="0" fontId="6" fillId="7" borderId="2" xfId="0" applyFont="1" applyFill="1" applyBorder="1"/>
    <xf numFmtId="0" fontId="5" fillId="6" borderId="0" xfId="0" applyFont="1" applyFill="1" applyAlignment="1">
      <alignment vertical="top" wrapText="1"/>
    </xf>
    <xf numFmtId="0" fontId="7" fillId="0" borderId="3" xfId="0" applyFont="1" applyBorder="1" applyAlignment="1">
      <alignment vertical="top" wrapText="1"/>
    </xf>
    <xf numFmtId="164" fontId="7" fillId="0" borderId="3" xfId="0" applyNumberFormat="1" applyFont="1" applyBorder="1" applyAlignment="1">
      <alignment vertical="top" wrapText="1"/>
    </xf>
    <xf numFmtId="3" fontId="7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9">
    <dxf>
      <font>
        <b/>
        <color rgb="FF8A1C1C"/>
      </font>
      <fill>
        <patternFill patternType="solid">
          <fgColor rgb="FFFDE8E7"/>
        </patternFill>
      </fill>
    </dxf>
    <dxf>
      <font>
        <color rgb="FF6B4F00"/>
      </font>
      <fill>
        <patternFill patternType="solid">
          <fgColor rgb="FFFFF4D6"/>
        </patternFill>
      </fill>
    </dxf>
    <dxf>
      <font>
        <color rgb="FF155A32"/>
      </font>
      <fill>
        <patternFill patternType="solid">
          <fgColor rgb="FFE7F5EC"/>
        </patternFill>
      </fill>
    </dxf>
    <dxf>
      <font>
        <color rgb="FF6B4F00"/>
      </font>
      <fill>
        <patternFill patternType="solid">
          <fgColor rgb="FFFFF4D6"/>
        </patternFill>
      </fill>
    </dxf>
    <dxf>
      <font>
        <color rgb="FF155A32"/>
      </font>
      <fill>
        <patternFill patternType="solid">
          <fgColor rgb="FFE7F5EC"/>
        </patternFill>
      </fill>
    </dxf>
    <dxf>
      <font>
        <color rgb="FF8A1C1C"/>
      </font>
      <fill>
        <patternFill patternType="solid">
          <fgColor rgb="FFFDE8E7"/>
        </patternFill>
      </fill>
    </dxf>
    <dxf>
      <font>
        <color rgb="FF6B4F00"/>
      </font>
      <fill>
        <patternFill patternType="solid">
          <fgColor rgb="FFFFF4D6"/>
        </patternFill>
      </fill>
    </dxf>
    <dxf>
      <font>
        <color rgb="FF155A32"/>
      </font>
      <fill>
        <patternFill patternType="solid">
          <fgColor rgb="FFE7F5EC"/>
        </patternFill>
      </fill>
    </dxf>
    <dxf>
      <font>
        <color rgb="FF8A1C1C"/>
      </font>
      <fill>
        <patternFill patternType="solid">
          <f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ocumentChangesTable" displayName="DocumentChangesTable" ref="A4:H17" totalsRowShown="1" headerRowCount="1">
  <autoFilter ref="A4:H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ource ID" totalsRowLabel="Total"/>
    <tableColumn id="2" name="Field" totalsRowFunction="none"/>
    <tableColumn id="3" name="Old Value" totalsRowFunction="none"/>
    <tableColumn id="4" name="New Value" totalsRowFunction="none"/>
    <tableColumn id="5" name="Risk Level" totalsRowFunction="none"/>
    <tableColumn id="6" name="Rationale" totalsRowFunction="none"/>
    <tableColumn id="7" name="Source Locator" totalsRowFunction="none"/>
    <tableColumn id="8" name="Review 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hangeReviewTable" displayName="ChangeReviewTable" ref="A4:J17" totalsRowShown="1" headerRowCount="1">
  <autoFilter ref="A4:J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ource ID" totalsRowLabel="Total"/>
    <tableColumn id="2" name="Field" totalsRowFunction="none"/>
    <tableColumn id="3" name="Old Value" totalsRowFunction="none"/>
    <tableColumn id="4" name="New Value" totalsRowFunction="none"/>
    <tableColumn id="5" name="Risk Level" totalsRowFunction="none"/>
    <tableColumn id="6" name="Rationale" totalsRowFunction="none"/>
    <tableColumn id="7" name="Source Locator" totalsRowFunction="none"/>
    <tableColumn id="8" name="Review Status" totalsRowFunction="none"/>
    <tableColumn id="9" name="Reviewer Decision" totalsRowFunction="none"/>
    <tableColumn id="10" name="Reviewer Not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uditEventsTable" displayName="AuditEventsTable" ref="A4:G14" totalsRowShown="1" headerRowCount="1">
  <autoFilter ref="A4:G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imestamp" totalsRowLabel="Total"/>
    <tableColumn id="2" name="Event" totalsRowFunction="none"/>
    <tableColumn id="3" name="Command" totalsRowFunction="none"/>
    <tableColumn id="4" name="Source ID" totalsRowFunction="none"/>
    <tableColumn id="5" name="Input Hash" totalsRowFunction="none"/>
    <tableColumn id="6" name="Record Count" totalsRowFunction="none"/>
    <tableColumn id="7" name="Detail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16" customWidth="1"/>
    <col min="3" max="3" width="4" customWidth="1"/>
    <col min="4" max="4" width="16" customWidth="1"/>
    <col min="5" max="8" width="14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5" x14ac:dyDescent="0.25">
      <c r="A4" s="3" t="s">
        <v>2</v>
      </c>
      <c r="B4" s="3" t="s">
        <v>3</v>
      </c>
      <c r="D4" s="3" t="s">
        <v>4</v>
      </c>
      <c r="E4" s="3" t="s">
        <v>5</v>
      </c>
    </row>
    <row r="5" spans="1:5" x14ac:dyDescent="0.25">
      <c r="A5" s="4" t="s">
        <v>6</v>
      </c>
      <c r="B5" s="5">
        <f>COUNTA('Changes'!$A$5:$A$17)</f>
        <v>13</v>
      </c>
      <c r="D5" s="6" t="s">
        <v>7</v>
      </c>
      <c r="E5" s="5">
        <f>B6</f>
        <v>8</v>
      </c>
    </row>
    <row r="6" spans="1:5" x14ac:dyDescent="0.25">
      <c r="A6" s="4" t="s">
        <v>8</v>
      </c>
      <c r="B6" s="5">
        <f>COUNTIF('Changes'!$E$5:$E$17,"high")</f>
        <v>8</v>
      </c>
      <c r="D6" s="7" t="s">
        <v>9</v>
      </c>
      <c r="E6" s="5">
        <f>B7</f>
        <v>5</v>
      </c>
    </row>
    <row r="7" spans="1:5" x14ac:dyDescent="0.25">
      <c r="A7" s="4" t="s">
        <v>10</v>
      </c>
      <c r="B7" s="5">
        <f>COUNTIF('Changes'!$E$5:$E$17,"medium")</f>
        <v>5</v>
      </c>
      <c r="D7" s="8" t="s">
        <v>11</v>
      </c>
      <c r="E7" s="5">
        <f>B8</f>
        <v>0</v>
      </c>
    </row>
    <row r="8" spans="1:2" x14ac:dyDescent="0.25">
      <c r="A8" s="4" t="s">
        <v>12</v>
      </c>
      <c r="B8" s="5">
        <f>COUNTIF('Changes'!$E$5:$E$17,"low")</f>
        <v>0</v>
      </c>
    </row>
    <row r="9" spans="1:2" x14ac:dyDescent="0.25">
      <c r="A9" s="4" t="s">
        <v>13</v>
      </c>
      <c r="B9" s="5">
        <f>COUNTIF('Changes'!$H$5:$H$17,"pending")</f>
        <v>13</v>
      </c>
    </row>
    <row r="11" ht="70" customHeight="1" spans="1:2" x14ac:dyDescent="0.25">
      <c r="A11" s="9" t="s">
        <v>14</v>
      </c>
      <c r="B11" s="9"/>
    </row>
    <row r="12" spans="1:2" x14ac:dyDescent="0.25">
      <c r="A12" s="9"/>
      <c r="B12" s="9"/>
    </row>
    <row r="13" spans="1:2" x14ac:dyDescent="0.25">
      <c r="A13" s="9"/>
      <c r="B13" s="9"/>
    </row>
    <row r="14" spans="1:2" x14ac:dyDescent="0.25">
      <c r="A14" s="9"/>
      <c r="B14" s="9"/>
    </row>
  </sheetData>
  <mergeCells count="3">
    <mergeCell ref="A1:H1"/>
    <mergeCell ref="A2:H2"/>
    <mergeCell ref="A11:B14"/>
  </mergeCells>
  <pageMargins left="0.25" right="0.25" top="0.35" bottom="0.35" header="0.15" footer="0.1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22" customWidth="1"/>
    <col min="3" max="4" width="34" customWidth="1"/>
    <col min="5" max="5" width="15" customWidth="1"/>
    <col min="6" max="6" width="48" customWidth="1"/>
    <col min="7" max="7" width="22" customWidth="1"/>
    <col min="8" max="8" width="18" customWidth="1"/>
  </cols>
  <sheetData>
    <row r="1" ht="34" customHeight="1" spans="1:8" x14ac:dyDescent="0.25">
      <c r="A1" s="1" t="s">
        <v>15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16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36" customHeight="1" spans="1:8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  <c r="F5" s="10" t="s">
        <v>30</v>
      </c>
      <c r="G5" s="10" t="s">
        <v>31</v>
      </c>
      <c r="H5" s="10" t="s">
        <v>32</v>
      </c>
    </row>
    <row r="6" ht="36" customHeight="1" spans="1:8" x14ac:dyDescent="0.25">
      <c r="A6" s="10" t="s">
        <v>25</v>
      </c>
      <c r="B6" s="10" t="s">
        <v>33</v>
      </c>
      <c r="C6" s="10" t="s">
        <v>34</v>
      </c>
      <c r="D6" s="10" t="s">
        <v>35</v>
      </c>
      <c r="E6" s="10" t="s">
        <v>29</v>
      </c>
      <c r="F6" s="10" t="s">
        <v>30</v>
      </c>
      <c r="G6" s="10" t="s">
        <v>36</v>
      </c>
      <c r="H6" s="10" t="s">
        <v>32</v>
      </c>
    </row>
    <row r="7" ht="36" customHeight="1" spans="1:8" x14ac:dyDescent="0.25">
      <c r="A7" s="10" t="s">
        <v>37</v>
      </c>
      <c r="B7" s="10" t="s">
        <v>38</v>
      </c>
      <c r="C7" s="10" t="s">
        <v>39</v>
      </c>
      <c r="D7" s="10" t="s">
        <v>40</v>
      </c>
      <c r="E7" s="10" t="s">
        <v>29</v>
      </c>
      <c r="F7" s="10" t="s">
        <v>30</v>
      </c>
      <c r="G7" s="10" t="s">
        <v>41</v>
      </c>
      <c r="H7" s="10" t="s">
        <v>32</v>
      </c>
    </row>
    <row r="8" ht="36" customHeight="1" spans="1:8" x14ac:dyDescent="0.25">
      <c r="A8" s="10" t="s">
        <v>37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30</v>
      </c>
      <c r="G8" s="10" t="s">
        <v>46</v>
      </c>
      <c r="H8" s="10" t="s">
        <v>32</v>
      </c>
    </row>
    <row r="9" ht="36" customHeight="1" spans="1:8" x14ac:dyDescent="0.25">
      <c r="A9" s="10" t="s">
        <v>37</v>
      </c>
      <c r="B9" s="10" t="s">
        <v>47</v>
      </c>
      <c r="C9" s="10" t="s">
        <v>48</v>
      </c>
      <c r="D9" s="10" t="s">
        <v>49</v>
      </c>
      <c r="E9" s="10" t="s">
        <v>29</v>
      </c>
      <c r="F9" s="10" t="s">
        <v>30</v>
      </c>
      <c r="G9" s="10" t="s">
        <v>50</v>
      </c>
      <c r="H9" s="10" t="s">
        <v>32</v>
      </c>
    </row>
    <row r="10" ht="36" customHeight="1" spans="1:8" x14ac:dyDescent="0.25">
      <c r="A10" s="10" t="s">
        <v>51</v>
      </c>
      <c r="B10" s="10" t="s">
        <v>52</v>
      </c>
      <c r="C10" s="10" t="s">
        <v>53</v>
      </c>
      <c r="D10" s="10" t="s">
        <v>54</v>
      </c>
      <c r="E10" s="10" t="s">
        <v>29</v>
      </c>
      <c r="F10" s="10" t="s">
        <v>30</v>
      </c>
      <c r="G10" s="10" t="s">
        <v>55</v>
      </c>
      <c r="H10" s="10" t="s">
        <v>32</v>
      </c>
    </row>
    <row r="11" ht="36" customHeight="1" spans="1:8" x14ac:dyDescent="0.25">
      <c r="A11" s="10" t="s">
        <v>51</v>
      </c>
      <c r="B11" s="10" t="s">
        <v>56</v>
      </c>
      <c r="C11" s="10" t="s">
        <v>39</v>
      </c>
      <c r="D11" s="10" t="s">
        <v>40</v>
      </c>
      <c r="E11" s="10" t="s">
        <v>29</v>
      </c>
      <c r="F11" s="10" t="s">
        <v>30</v>
      </c>
      <c r="G11" s="10" t="s">
        <v>57</v>
      </c>
      <c r="H11" s="10" t="s">
        <v>32</v>
      </c>
    </row>
    <row r="12" ht="36" customHeight="1" spans="1:8" x14ac:dyDescent="0.25">
      <c r="A12" s="10" t="s">
        <v>51</v>
      </c>
      <c r="B12" s="10" t="s">
        <v>58</v>
      </c>
      <c r="C12" s="10" t="s">
        <v>59</v>
      </c>
      <c r="D12" s="10" t="s">
        <v>60</v>
      </c>
      <c r="E12" s="10" t="s">
        <v>29</v>
      </c>
      <c r="F12" s="10" t="s">
        <v>30</v>
      </c>
      <c r="G12" s="10" t="s">
        <v>61</v>
      </c>
      <c r="H12" s="10" t="s">
        <v>32</v>
      </c>
    </row>
    <row r="13" ht="36" customHeight="1" spans="1:8" x14ac:dyDescent="0.25">
      <c r="A13" s="10" t="s">
        <v>51</v>
      </c>
      <c r="B13" s="10" t="s">
        <v>62</v>
      </c>
      <c r="C13" s="10" t="s">
        <v>44</v>
      </c>
      <c r="D13" s="10" t="s">
        <v>63</v>
      </c>
      <c r="E13" s="10" t="s">
        <v>45</v>
      </c>
      <c r="F13" s="10" t="s">
        <v>30</v>
      </c>
      <c r="G13" s="10" t="s">
        <v>64</v>
      </c>
      <c r="H13" s="10" t="s">
        <v>32</v>
      </c>
    </row>
    <row r="14" ht="36" customHeight="1" spans="1:8" x14ac:dyDescent="0.25">
      <c r="A14" s="10" t="s">
        <v>65</v>
      </c>
      <c r="B14" s="10" t="s">
        <v>66</v>
      </c>
      <c r="C14" s="10" t="s">
        <v>67</v>
      </c>
      <c r="D14" s="10" t="s">
        <v>68</v>
      </c>
      <c r="E14" s="10" t="s">
        <v>45</v>
      </c>
      <c r="F14" s="10" t="s">
        <v>30</v>
      </c>
      <c r="G14" s="10" t="s">
        <v>69</v>
      </c>
      <c r="H14" s="10" t="s">
        <v>32</v>
      </c>
    </row>
    <row r="15" ht="36" customHeight="1" spans="1:8" x14ac:dyDescent="0.25">
      <c r="A15" s="10" t="s">
        <v>65</v>
      </c>
      <c r="B15" s="10" t="s">
        <v>70</v>
      </c>
      <c r="C15" s="10" t="s">
        <v>59</v>
      </c>
      <c r="D15" s="10" t="s">
        <v>71</v>
      </c>
      <c r="E15" s="10" t="s">
        <v>45</v>
      </c>
      <c r="F15" s="10" t="s">
        <v>30</v>
      </c>
      <c r="G15" s="10" t="s">
        <v>72</v>
      </c>
      <c r="H15" s="10" t="s">
        <v>32</v>
      </c>
    </row>
    <row r="16" ht="36" customHeight="1" spans="1:8" x14ac:dyDescent="0.25">
      <c r="A16" s="10" t="s">
        <v>65</v>
      </c>
      <c r="B16" s="10" t="s">
        <v>73</v>
      </c>
      <c r="C16" s="10" t="s">
        <v>74</v>
      </c>
      <c r="D16" s="10" t="s">
        <v>75</v>
      </c>
      <c r="E16" s="10" t="s">
        <v>29</v>
      </c>
      <c r="F16" s="10" t="s">
        <v>30</v>
      </c>
      <c r="G16" s="10" t="s">
        <v>76</v>
      </c>
      <c r="H16" s="10" t="s">
        <v>32</v>
      </c>
    </row>
    <row r="17" ht="36" customHeight="1" spans="1:8" x14ac:dyDescent="0.25">
      <c r="A17" s="10" t="s">
        <v>65</v>
      </c>
      <c r="B17" s="10" t="s">
        <v>77</v>
      </c>
      <c r="C17" s="10" t="s">
        <v>78</v>
      </c>
      <c r="D17" s="10" t="s">
        <v>79</v>
      </c>
      <c r="E17" s="10" t="s">
        <v>45</v>
      </c>
      <c r="F17" s="10" t="s">
        <v>30</v>
      </c>
      <c r="G17" s="10" t="s">
        <v>80</v>
      </c>
      <c r="H17" s="10" t="s">
        <v>32</v>
      </c>
    </row>
  </sheetData>
  <mergeCells count="2">
    <mergeCell ref="A1:H1"/>
    <mergeCell ref="A2:H2"/>
  </mergeCells>
  <conditionalFormatting sqref="E5:E17">
    <cfRule type="expression" dxfId="0" priority="1">
      <formula>$E5="high"</formula>
    </cfRule>
    <cfRule type="expression" dxfId="1" priority="2">
      <formula>$E5="medium"</formula>
    </cfRule>
    <cfRule type="expression" dxfId="2" priority="3">
      <formula>$E5="low"</formula>
    </cfRule>
  </conditionalFormatting>
  <conditionalFormatting sqref="H5:H17">
    <cfRule type="expression" dxfId="3" priority="1">
      <formula>$H5="pending"</formula>
    </cfRule>
    <cfRule type="expression" dxfId="4" priority="2">
      <formula>$H5="approved"</formula>
    </cfRule>
    <cfRule type="expression" dxfId="5" priority="3">
      <formula>$H5="rejected"</formula>
    </cfRule>
  </conditionalFormatting>
  <dataValidations count="2">
    <dataValidation type="list" sqref="E5:E17">
      <formula1>"low,medium,high"</formula1>
    </dataValidation>
    <dataValidation type="list" sqref="H5:H17">
      <formula1>"pending,approved,rejected"</formula1>
    </dataValidation>
  </dataValidation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20" customWidth="1"/>
    <col min="3" max="4" width="30" customWidth="1"/>
    <col min="5" max="5" width="13" customWidth="1"/>
    <col min="6" max="6" width="42" customWidth="1"/>
    <col min="7" max="7" width="20" customWidth="1"/>
    <col min="8" max="8" width="16" customWidth="1"/>
    <col min="9" max="9" width="18" customWidth="1"/>
    <col min="10" max="10" width="42" customWidth="1"/>
  </cols>
  <sheetData>
    <row r="1" ht="34" customHeight="1" spans="1:10" x14ac:dyDescent="0.2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83</v>
      </c>
      <c r="J4" s="3" t="s">
        <v>84</v>
      </c>
    </row>
    <row r="5" ht="36" customHeight="1" spans="1:10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0" t="s">
        <v>32</v>
      </c>
      <c r="J5" s="10" t="s">
        <v>85</v>
      </c>
    </row>
    <row r="6" ht="36" customHeight="1" spans="1:10" x14ac:dyDescent="0.25">
      <c r="A6" s="10" t="s">
        <v>25</v>
      </c>
      <c r="B6" s="10" t="s">
        <v>33</v>
      </c>
      <c r="C6" s="10" t="s">
        <v>34</v>
      </c>
      <c r="D6" s="10" t="s">
        <v>35</v>
      </c>
      <c r="E6" s="10" t="s">
        <v>29</v>
      </c>
      <c r="F6" s="10" t="s">
        <v>30</v>
      </c>
      <c r="G6" s="10" t="s">
        <v>36</v>
      </c>
      <c r="H6" s="10" t="s">
        <v>32</v>
      </c>
      <c r="I6" s="10" t="s">
        <v>32</v>
      </c>
      <c r="J6" s="10" t="s">
        <v>85</v>
      </c>
    </row>
    <row r="7" ht="36" customHeight="1" spans="1:10" x14ac:dyDescent="0.25">
      <c r="A7" s="10" t="s">
        <v>37</v>
      </c>
      <c r="B7" s="10" t="s">
        <v>38</v>
      </c>
      <c r="C7" s="10" t="s">
        <v>39</v>
      </c>
      <c r="D7" s="10" t="s">
        <v>40</v>
      </c>
      <c r="E7" s="10" t="s">
        <v>29</v>
      </c>
      <c r="F7" s="10" t="s">
        <v>30</v>
      </c>
      <c r="G7" s="10" t="s">
        <v>41</v>
      </c>
      <c r="H7" s="10" t="s">
        <v>32</v>
      </c>
      <c r="I7" s="10" t="s">
        <v>32</v>
      </c>
      <c r="J7" s="10" t="s">
        <v>85</v>
      </c>
    </row>
    <row r="8" ht="36" customHeight="1" spans="1:10" x14ac:dyDescent="0.25">
      <c r="A8" s="10" t="s">
        <v>37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30</v>
      </c>
      <c r="G8" s="10" t="s">
        <v>46</v>
      </c>
      <c r="H8" s="10" t="s">
        <v>32</v>
      </c>
      <c r="I8" s="10" t="s">
        <v>32</v>
      </c>
      <c r="J8" s="10" t="s">
        <v>85</v>
      </c>
    </row>
    <row r="9" ht="36" customHeight="1" spans="1:10" x14ac:dyDescent="0.25">
      <c r="A9" s="10" t="s">
        <v>37</v>
      </c>
      <c r="B9" s="10" t="s">
        <v>47</v>
      </c>
      <c r="C9" s="10" t="s">
        <v>48</v>
      </c>
      <c r="D9" s="10" t="s">
        <v>49</v>
      </c>
      <c r="E9" s="10" t="s">
        <v>29</v>
      </c>
      <c r="F9" s="10" t="s">
        <v>30</v>
      </c>
      <c r="G9" s="10" t="s">
        <v>50</v>
      </c>
      <c r="H9" s="10" t="s">
        <v>32</v>
      </c>
      <c r="I9" s="10" t="s">
        <v>32</v>
      </c>
      <c r="J9" s="10" t="s">
        <v>85</v>
      </c>
    </row>
    <row r="10" ht="36" customHeight="1" spans="1:10" x14ac:dyDescent="0.25">
      <c r="A10" s="10" t="s">
        <v>51</v>
      </c>
      <c r="B10" s="10" t="s">
        <v>52</v>
      </c>
      <c r="C10" s="10" t="s">
        <v>53</v>
      </c>
      <c r="D10" s="10" t="s">
        <v>54</v>
      </c>
      <c r="E10" s="10" t="s">
        <v>29</v>
      </c>
      <c r="F10" s="10" t="s">
        <v>30</v>
      </c>
      <c r="G10" s="10" t="s">
        <v>55</v>
      </c>
      <c r="H10" s="10" t="s">
        <v>32</v>
      </c>
      <c r="I10" s="10" t="s">
        <v>32</v>
      </c>
      <c r="J10" s="10" t="s">
        <v>85</v>
      </c>
    </row>
    <row r="11" ht="36" customHeight="1" spans="1:10" x14ac:dyDescent="0.25">
      <c r="A11" s="10" t="s">
        <v>51</v>
      </c>
      <c r="B11" s="10" t="s">
        <v>56</v>
      </c>
      <c r="C11" s="10" t="s">
        <v>39</v>
      </c>
      <c r="D11" s="10" t="s">
        <v>40</v>
      </c>
      <c r="E11" s="10" t="s">
        <v>29</v>
      </c>
      <c r="F11" s="10" t="s">
        <v>30</v>
      </c>
      <c r="G11" s="10" t="s">
        <v>57</v>
      </c>
      <c r="H11" s="10" t="s">
        <v>32</v>
      </c>
      <c r="I11" s="10" t="s">
        <v>32</v>
      </c>
      <c r="J11" s="10" t="s">
        <v>85</v>
      </c>
    </row>
    <row r="12" ht="36" customHeight="1" spans="1:10" x14ac:dyDescent="0.25">
      <c r="A12" s="10" t="s">
        <v>51</v>
      </c>
      <c r="B12" s="10" t="s">
        <v>58</v>
      </c>
      <c r="C12" s="10" t="s">
        <v>59</v>
      </c>
      <c r="D12" s="10" t="s">
        <v>60</v>
      </c>
      <c r="E12" s="10" t="s">
        <v>29</v>
      </c>
      <c r="F12" s="10" t="s">
        <v>30</v>
      </c>
      <c r="G12" s="10" t="s">
        <v>61</v>
      </c>
      <c r="H12" s="10" t="s">
        <v>32</v>
      </c>
      <c r="I12" s="10" t="s">
        <v>32</v>
      </c>
      <c r="J12" s="10" t="s">
        <v>85</v>
      </c>
    </row>
    <row r="13" ht="36" customHeight="1" spans="1:10" x14ac:dyDescent="0.25">
      <c r="A13" s="10" t="s">
        <v>51</v>
      </c>
      <c r="B13" s="10" t="s">
        <v>62</v>
      </c>
      <c r="C13" s="10" t="s">
        <v>44</v>
      </c>
      <c r="D13" s="10" t="s">
        <v>63</v>
      </c>
      <c r="E13" s="10" t="s">
        <v>45</v>
      </c>
      <c r="F13" s="10" t="s">
        <v>30</v>
      </c>
      <c r="G13" s="10" t="s">
        <v>64</v>
      </c>
      <c r="H13" s="10" t="s">
        <v>32</v>
      </c>
      <c r="I13" s="10" t="s">
        <v>32</v>
      </c>
      <c r="J13" s="10" t="s">
        <v>85</v>
      </c>
    </row>
    <row r="14" ht="36" customHeight="1" spans="1:10" x14ac:dyDescent="0.25">
      <c r="A14" s="10" t="s">
        <v>65</v>
      </c>
      <c r="B14" s="10" t="s">
        <v>66</v>
      </c>
      <c r="C14" s="10" t="s">
        <v>67</v>
      </c>
      <c r="D14" s="10" t="s">
        <v>68</v>
      </c>
      <c r="E14" s="10" t="s">
        <v>45</v>
      </c>
      <c r="F14" s="10" t="s">
        <v>30</v>
      </c>
      <c r="G14" s="10" t="s">
        <v>69</v>
      </c>
      <c r="H14" s="10" t="s">
        <v>32</v>
      </c>
      <c r="I14" s="10" t="s">
        <v>32</v>
      </c>
      <c r="J14" s="10" t="s">
        <v>85</v>
      </c>
    </row>
    <row r="15" ht="36" customHeight="1" spans="1:10" x14ac:dyDescent="0.25">
      <c r="A15" s="10" t="s">
        <v>65</v>
      </c>
      <c r="B15" s="10" t="s">
        <v>70</v>
      </c>
      <c r="C15" s="10" t="s">
        <v>59</v>
      </c>
      <c r="D15" s="10" t="s">
        <v>71</v>
      </c>
      <c r="E15" s="10" t="s">
        <v>45</v>
      </c>
      <c r="F15" s="10" t="s">
        <v>30</v>
      </c>
      <c r="G15" s="10" t="s">
        <v>72</v>
      </c>
      <c r="H15" s="10" t="s">
        <v>32</v>
      </c>
      <c r="I15" s="10" t="s">
        <v>32</v>
      </c>
      <c r="J15" s="10" t="s">
        <v>85</v>
      </c>
    </row>
    <row r="16" ht="36" customHeight="1" spans="1:10" x14ac:dyDescent="0.25">
      <c r="A16" s="10" t="s">
        <v>65</v>
      </c>
      <c r="B16" s="10" t="s">
        <v>73</v>
      </c>
      <c r="C16" s="10" t="s">
        <v>74</v>
      </c>
      <c r="D16" s="10" t="s">
        <v>75</v>
      </c>
      <c r="E16" s="10" t="s">
        <v>29</v>
      </c>
      <c r="F16" s="10" t="s">
        <v>30</v>
      </c>
      <c r="G16" s="10" t="s">
        <v>76</v>
      </c>
      <c r="H16" s="10" t="s">
        <v>32</v>
      </c>
      <c r="I16" s="10" t="s">
        <v>32</v>
      </c>
      <c r="J16" s="10" t="s">
        <v>85</v>
      </c>
    </row>
    <row r="17" ht="36" customHeight="1" spans="1:10" x14ac:dyDescent="0.25">
      <c r="A17" s="10" t="s">
        <v>65</v>
      </c>
      <c r="B17" s="10" t="s">
        <v>77</v>
      </c>
      <c r="C17" s="10" t="s">
        <v>78</v>
      </c>
      <c r="D17" s="10" t="s">
        <v>79</v>
      </c>
      <c r="E17" s="10" t="s">
        <v>45</v>
      </c>
      <c r="F17" s="10" t="s">
        <v>30</v>
      </c>
      <c r="G17" s="10" t="s">
        <v>80</v>
      </c>
      <c r="H17" s="10" t="s">
        <v>32</v>
      </c>
      <c r="I17" s="10" t="s">
        <v>32</v>
      </c>
      <c r="J17" s="10" t="s">
        <v>85</v>
      </c>
    </row>
  </sheetData>
  <mergeCells count="2">
    <mergeCell ref="A1:J1"/>
    <mergeCell ref="A2:J2"/>
  </mergeCells>
  <conditionalFormatting sqref="I5:I17">
    <cfRule type="expression" dxfId="6" priority="1">
      <formula>$I5="pending"</formula>
    </cfRule>
    <cfRule type="expression" dxfId="7" priority="2">
      <formula>$I5="approved"</formula>
    </cfRule>
    <cfRule type="expression" dxfId="8" priority="3">
      <formula>$I5="rejected"</formula>
    </cfRule>
  </conditionalFormatting>
  <dataValidations count="1">
    <dataValidation type="list" sqref="I5:I17">
      <formula1>"pending,approved,rejected"</formula1>
    </dataValidation>
  </dataValidation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22" customWidth="1"/>
    <col min="3" max="3" width="18" customWidth="1"/>
    <col min="4" max="4" width="20" customWidth="1"/>
    <col min="5" max="5" width="34" customWidth="1"/>
    <col min="6" max="6" width="14" customWidth="1"/>
    <col min="7" max="7" width="60" customWidth="1"/>
  </cols>
  <sheetData>
    <row r="1" ht="34" customHeight="1" spans="1:7" x14ac:dyDescent="0.25">
      <c r="A1" s="1" t="s">
        <v>86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87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88</v>
      </c>
      <c r="B4" s="3" t="s">
        <v>89</v>
      </c>
      <c r="C4" s="3" t="s">
        <v>90</v>
      </c>
      <c r="D4" s="3" t="s">
        <v>17</v>
      </c>
      <c r="E4" s="3" t="s">
        <v>91</v>
      </c>
      <c r="F4" s="3" t="s">
        <v>92</v>
      </c>
      <c r="G4" s="3" t="s">
        <v>93</v>
      </c>
    </row>
    <row r="5" ht="36" customHeight="1" spans="1:7" x14ac:dyDescent="0.25">
      <c r="A5" s="11" t="s">
        <v>94</v>
      </c>
      <c r="B5" s="10" t="s">
        <v>95</v>
      </c>
      <c r="C5" s="10" t="s">
        <v>96</v>
      </c>
      <c r="D5" s="10" t="s">
        <v>85</v>
      </c>
      <c r="E5" s="10" t="s">
        <v>85</v>
      </c>
      <c r="F5" s="12">
        <v>0</v>
      </c>
      <c r="G5" s="10" t="s">
        <v>97</v>
      </c>
    </row>
    <row r="6" ht="36" customHeight="1" spans="1:7" x14ac:dyDescent="0.25">
      <c r="A6" s="11" t="s">
        <v>94</v>
      </c>
      <c r="B6" s="10" t="s">
        <v>98</v>
      </c>
      <c r="C6" s="10" t="s">
        <v>85</v>
      </c>
      <c r="D6" s="10" t="s">
        <v>25</v>
      </c>
      <c r="E6" s="10" t="s">
        <v>99</v>
      </c>
      <c r="F6" s="12">
        <v>10</v>
      </c>
      <c r="G6" s="10" t="s">
        <v>100</v>
      </c>
    </row>
    <row r="7" ht="36" customHeight="1" spans="1:7" x14ac:dyDescent="0.25">
      <c r="A7" s="11" t="s">
        <v>94</v>
      </c>
      <c r="B7" s="10" t="s">
        <v>98</v>
      </c>
      <c r="C7" s="10" t="s">
        <v>85</v>
      </c>
      <c r="D7" s="10" t="s">
        <v>37</v>
      </c>
      <c r="E7" s="10" t="s">
        <v>101</v>
      </c>
      <c r="F7" s="12">
        <v>3</v>
      </c>
      <c r="G7" s="10" t="s">
        <v>102</v>
      </c>
    </row>
    <row r="8" ht="36" customHeight="1" spans="1:7" x14ac:dyDescent="0.25">
      <c r="A8" s="11" t="s">
        <v>94</v>
      </c>
      <c r="B8" s="10" t="s">
        <v>98</v>
      </c>
      <c r="C8" s="10" t="s">
        <v>85</v>
      </c>
      <c r="D8" s="10" t="s">
        <v>51</v>
      </c>
      <c r="E8" s="10" t="s">
        <v>103</v>
      </c>
      <c r="F8" s="12">
        <v>8</v>
      </c>
      <c r="G8" s="10" t="s">
        <v>104</v>
      </c>
    </row>
    <row r="9" ht="36" customHeight="1" spans="1:7" x14ac:dyDescent="0.25">
      <c r="A9" s="11" t="s">
        <v>94</v>
      </c>
      <c r="B9" s="10" t="s">
        <v>98</v>
      </c>
      <c r="C9" s="10" t="s">
        <v>85</v>
      </c>
      <c r="D9" s="10" t="s">
        <v>65</v>
      </c>
      <c r="E9" s="10" t="s">
        <v>105</v>
      </c>
      <c r="F9" s="12">
        <v>5</v>
      </c>
      <c r="G9" s="10" t="s">
        <v>106</v>
      </c>
    </row>
    <row r="10" ht="36" customHeight="1" spans="1:7" x14ac:dyDescent="0.25">
      <c r="A10" s="11" t="s">
        <v>94</v>
      </c>
      <c r="B10" s="10" t="s">
        <v>98</v>
      </c>
      <c r="C10" s="10" t="s">
        <v>85</v>
      </c>
      <c r="D10" s="10" t="s">
        <v>25</v>
      </c>
      <c r="E10" s="10" t="s">
        <v>107</v>
      </c>
      <c r="F10" s="12">
        <v>10</v>
      </c>
      <c r="G10" s="10" t="s">
        <v>108</v>
      </c>
    </row>
    <row r="11" ht="36" customHeight="1" spans="1:7" x14ac:dyDescent="0.25">
      <c r="A11" s="11" t="s">
        <v>94</v>
      </c>
      <c r="B11" s="10" t="s">
        <v>98</v>
      </c>
      <c r="C11" s="10" t="s">
        <v>85</v>
      </c>
      <c r="D11" s="10" t="s">
        <v>37</v>
      </c>
      <c r="E11" s="10" t="s">
        <v>109</v>
      </c>
      <c r="F11" s="12">
        <v>3</v>
      </c>
      <c r="G11" s="10" t="s">
        <v>110</v>
      </c>
    </row>
    <row r="12" ht="36" customHeight="1" spans="1:7" x14ac:dyDescent="0.25">
      <c r="A12" s="11" t="s">
        <v>94</v>
      </c>
      <c r="B12" s="10" t="s">
        <v>98</v>
      </c>
      <c r="C12" s="10" t="s">
        <v>85</v>
      </c>
      <c r="D12" s="10" t="s">
        <v>51</v>
      </c>
      <c r="E12" s="10" t="s">
        <v>111</v>
      </c>
      <c r="F12" s="12">
        <v>8</v>
      </c>
      <c r="G12" s="10" t="s">
        <v>112</v>
      </c>
    </row>
    <row r="13" ht="36" customHeight="1" spans="1:7" x14ac:dyDescent="0.25">
      <c r="A13" s="11" t="s">
        <v>94</v>
      </c>
      <c r="B13" s="10" t="s">
        <v>98</v>
      </c>
      <c r="C13" s="10" t="s">
        <v>85</v>
      </c>
      <c r="D13" s="10" t="s">
        <v>65</v>
      </c>
      <c r="E13" s="10" t="s">
        <v>113</v>
      </c>
      <c r="F13" s="12">
        <v>5</v>
      </c>
      <c r="G13" s="10" t="s">
        <v>114</v>
      </c>
    </row>
    <row r="14" ht="36" customHeight="1" spans="1:7" x14ac:dyDescent="0.25">
      <c r="A14" s="11" t="s">
        <v>115</v>
      </c>
      <c r="B14" s="10" t="s">
        <v>116</v>
      </c>
      <c r="C14" s="10" t="s">
        <v>96</v>
      </c>
      <c r="D14" s="10" t="s">
        <v>85</v>
      </c>
      <c r="E14" s="10" t="s">
        <v>85</v>
      </c>
      <c r="F14" s="12">
        <v>13</v>
      </c>
      <c r="G14" s="10" t="s">
        <v>117</v>
      </c>
    </row>
  </sheetData>
  <mergeCells count="2">
    <mergeCell ref="A1:G1"/>
    <mergeCell ref="A2:G2"/>
  </mergeCell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Changes</vt:lpstr>
      <vt:lpstr>Review Queue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regulated-workflow-demo</dc:creator>
  <dc:title/>
  <dc:subject/>
  <dc:description/>
  <cp:keywords/>
  <cp:category/>
  <cp:lastModifiedBy>regulated-workflow-demo</cp:lastModifiedBy>
  <dcterms:created xsi:type="dcterms:W3CDTF">2026-01-01T00:00:00Z</dcterms:created>
  <dcterms:modified xsi:type="dcterms:W3CDTF">2026-01-01T00:00:00Z</dcterms:modified>
</cp:coreProperties>
</file>