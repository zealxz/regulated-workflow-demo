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Evidence" state="visible" r:id="rId5"/>
    <sheet sheetId="3" name="Review Queue" state="visible" r:id="rId6"/>
    <sheet sheetId="4" name="Audit" state="visible" r:id="rId7"/>
  </sheets>
  <definedNames>
    <definedName name="_xlnm.Print_Titles" localSheetId="1">'Evidence'!$1:$4</definedName>
    <definedName name="_xlnm.Print_Titles" localSheetId="2">'Review Queue'!$1:$4</definedName>
    <definedName name="_xlnm.Print_Titles" localSheetId="3">'Audit'!$1:$4</definedName>
  </definedNames>
  <calcPr calcId="171027" fullCalcOnLoad="1"/>
</workbook>
</file>

<file path=xl/sharedStrings.xml><?xml version="1.0" encoding="utf-8"?>
<sst xmlns="http://schemas.openxmlformats.org/spreadsheetml/2006/main" count="493" uniqueCount="127">
  <si>
    <t>Evidence Register</t>
  </si>
  <si>
    <t>Draft output for human review — not a compliance determination.</t>
  </si>
  <si>
    <t>Metric</t>
  </si>
  <si>
    <t>Value</t>
  </si>
  <si>
    <t>Evidence items</t>
  </si>
  <si>
    <t>Pending review</t>
  </si>
  <si>
    <t>Approved</t>
  </si>
  <si>
    <t>Rejected</t>
  </si>
  <si>
    <t>Average confidence</t>
  </si>
  <si>
    <t>How to use: verify the quote and locator, choose a review status, and add a reviewer note before treating any row as approved.</t>
  </si>
  <si>
    <t>Evidence Items</t>
  </si>
  <si>
    <t>Canonical records derived from local sample inputs. Use the review status rather than formatting as the decision field.</t>
  </si>
  <si>
    <t>Source ID</t>
  </si>
  <si>
    <t>Source</t>
  </si>
  <si>
    <t>Locator</t>
  </si>
  <si>
    <t>Field</t>
  </si>
  <si>
    <t>Quote</t>
  </si>
  <si>
    <t>Confidence</t>
  </si>
  <si>
    <t>Review Status</t>
  </si>
  <si>
    <t>controls.csv</t>
  </si>
  <si>
    <t>page 1</t>
  </si>
  <si>
    <t>row[1].Control ID</t>
  </si>
  <si>
    <t>CTL-001</t>
  </si>
  <si>
    <t>Control ID=CTL-001</t>
  </si>
  <si>
    <t>pending</t>
  </si>
  <si>
    <t>row[1].Control Name</t>
  </si>
  <si>
    <t>Temperature excursion</t>
  </si>
  <si>
    <t>Control Name=Temperature excursion</t>
  </si>
  <si>
    <t>row[1].Threshold</t>
  </si>
  <si>
    <t>4 hours</t>
  </si>
  <si>
    <t>Threshold=4 hours</t>
  </si>
  <si>
    <t>row[1].Owner</t>
  </si>
  <si>
    <t>Quality Operations</t>
  </si>
  <si>
    <t>Owner=Quality Operations</t>
  </si>
  <si>
    <t>row[1].Status</t>
  </si>
  <si>
    <t>Active</t>
  </si>
  <si>
    <t>Status=Active</t>
  </si>
  <si>
    <t>row[2].Control ID</t>
  </si>
  <si>
    <t>CTL-002</t>
  </si>
  <si>
    <t>Control ID=CTL-002</t>
  </si>
  <si>
    <t>row[2].Control Name</t>
  </si>
  <si>
    <t>Deviation backlog</t>
  </si>
  <si>
    <t>Control Name=Deviation backlog</t>
  </si>
  <si>
    <t>row[2].Threshold</t>
  </si>
  <si>
    <t>5 cases</t>
  </si>
  <si>
    <t>Threshold=5 cases</t>
  </si>
  <si>
    <t>row[2].Owner</t>
  </si>
  <si>
    <t>Quality Systems</t>
  </si>
  <si>
    <t>Owner=Quality Systems</t>
  </si>
  <si>
    <t>row[2].Status</t>
  </si>
  <si>
    <t>escalation.txt</t>
  </si>
  <si>
    <t>Incident Escalation Hours</t>
  </si>
  <si>
    <t>12</t>
  </si>
  <si>
    <t>Incident Escalation Hours: 12</t>
  </si>
  <si>
    <t>Log Retention Days</t>
  </si>
  <si>
    <t>180</t>
  </si>
  <si>
    <t>Log Retention Days: 180</t>
  </si>
  <si>
    <t>Final Approval Role</t>
  </si>
  <si>
    <t>Quality Director</t>
  </si>
  <si>
    <t>Final Approval Role: Quality Director</t>
  </si>
  <si>
    <t>policy.md</t>
  </si>
  <si>
    <t>heading[1]</t>
  </si>
  <si>
    <t>Synthetic Quality Control Policy</t>
  </si>
  <si>
    <t># Synthetic Quality Control Policy</t>
  </si>
  <si>
    <t>Policy ID</t>
  </si>
  <si>
    <t>SYN-QMS-001</t>
  </si>
  <si>
    <t>Policy ID: SYN-QMS-001</t>
  </si>
  <si>
    <t>Effective Date</t>
  </si>
  <si>
    <t>2026-07-01</t>
  </si>
  <si>
    <t>Effective Date: 2026-07-01</t>
  </si>
  <si>
    <t>Document Status</t>
  </si>
  <si>
    <t>Document Status: Approved</t>
  </si>
  <si>
    <t>Retention Years</t>
  </si>
  <si>
    <t>7</t>
  </si>
  <si>
    <t>Retention Years: 7</t>
  </si>
  <si>
    <t>Exception Approval</t>
  </si>
  <si>
    <t>Exception Approval: Quality Director</t>
  </si>
  <si>
    <t>Review Cycle Months</t>
  </si>
  <si>
    <t>6</t>
  </si>
  <si>
    <t>Review Cycle Months: 6</t>
  </si>
  <si>
    <t>text.line[10]</t>
  </si>
  <si>
    <t>This synthetic document is for demonstration only and describes no real organization.</t>
  </si>
  <si>
    <t>registry.json</t>
  </si>
  <si>
    <t>product_family</t>
  </si>
  <si>
    <t>Synthetic Device</t>
  </si>
  <si>
    <t>product_family=Synthetic Device</t>
  </si>
  <si>
    <t>registry_version</t>
  </si>
  <si>
    <t>1.1</t>
  </si>
  <si>
    <t>registry_version=1.1</t>
  </si>
  <si>
    <t>release.max_open_deviations</t>
  </si>
  <si>
    <t>3</t>
  </si>
  <si>
    <t>release.max_open_deviations=3</t>
  </si>
  <si>
    <t>release.requires_dual_approval</t>
  </si>
  <si>
    <t>true</t>
  </si>
  <si>
    <t>release.requires_dual_approval=true</t>
  </si>
  <si>
    <t>status</t>
  </si>
  <si>
    <t>controlled-release</t>
  </si>
  <si>
    <t>status=controlled-release</t>
  </si>
  <si>
    <t>Human Review Queue</t>
  </si>
  <si>
    <t>Editable decisions are intentionally separate from extracted evidence. Every item begins as pending.</t>
  </si>
  <si>
    <t>Reviewer Decision</t>
  </si>
  <si>
    <t>Reviewer Note</t>
  </si>
  <si>
    <t/>
  </si>
  <si>
    <t>Audit Trail</t>
  </si>
  <si>
    <t>Run metadata only. Credentials and full environment values are intentionally excluded.</t>
  </si>
  <si>
    <t>Timestamp</t>
  </si>
  <si>
    <t>Event</t>
  </si>
  <si>
    <t>Command</t>
  </si>
  <si>
    <t>Input Hash</t>
  </si>
  <si>
    <t>Record Count</t>
  </si>
  <si>
    <t>Details</t>
  </si>
  <si>
    <t>2026-08-26T07:49:41.194168Z</t>
  </si>
  <si>
    <t>run_started</t>
  </si>
  <si>
    <t>extract</t>
  </si>
  <si>
    <t>{"network_mode":"offline"}</t>
  </si>
  <si>
    <t>document_parsed</t>
  </si>
  <si>
    <t>eec1bd7c1ca1b5b6c5ee6cd489055d8c4b2e02362ebb0dce27b65e5edec252a6</t>
  </si>
  <si>
    <t>{"input_role":"input","format":"csv","byte_size":168}</t>
  </si>
  <si>
    <t>98a28d7550362a5adc5263ef912749fe4f6335e5a3c4e66f1a9fbfdbfbec0d06</t>
  </si>
  <si>
    <t>{"input_role":"input","format":"txt","byte_size":92}</t>
  </si>
  <si>
    <t>c2b0be9ff2b5cc9d3ccdab6fa2f99d0a9f11eb717bec45d128cd8810d09bd8e5</t>
  </si>
  <si>
    <t>{"input_role":"input","format":"md","byte_size":278}</t>
  </si>
  <si>
    <t>fba566bd239545da69b86ba4362784fde0ec3f572ae99b8c6385c0abbc03fd49</t>
  </si>
  <si>
    <t>{"input_role":"input","format":"json","byte_size":191}</t>
  </si>
  <si>
    <t>2026-08-26T07:49:41.204455Z</t>
  </si>
  <si>
    <t>run_completed</t>
  </si>
  <si>
    <t>{"review_required":true}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</si>
</sst>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yyyy-mm-dd hh:mm"/>
  </numFmts>
  <fonts count="6" x14ac:knownFonts="1">
    <font>
      <color theme="1"/>
      <family val="2"/>
      <scheme val="minor"/>
      <sz val="11"/>
      <name val="Calibri"/>
    </font>
    <font>
      <b/>
      <color rgb="FFFFFFFF"/>
      <sz val="18"/>
    </font>
    <font>
      <i/>
      <color rgb="FF5F6B76"/>
      <sz val="10"/>
    </font>
    <font>
      <b/>
      <color rgb="FFFFFFFF"/>
    </font>
    <font>
      <b/>
      <color rgb="FF6B4F00"/>
    </font>
    <font>
      <color rgb="FF17212B"/>
      <sz val="10"/>
    </font>
  </fonts>
  <fills count="6">
    <fill>
      <patternFill patternType="none"/>
    </fill>
    <fill>
      <patternFill patternType="gray125"/>
    </fill>
    <fill>
      <patternFill patternType="solid">
        <fgColor rgb="FF16324F"/>
      </patternFill>
    </fill>
    <fill>
      <patternFill patternType="solid">
        <fgColor rgb="FFEAF1F8"/>
      </patternFill>
    </fill>
    <fill>
      <patternFill patternType="solid">
        <fgColor rgb="FF0F766E"/>
      </patternFill>
    </fill>
    <fill>
      <patternFill patternType="solid">
        <fgColor rgb="FFFFF4D6"/>
      </patternFill>
    </fill>
  </fills>
  <borders count="4">
    <border>
      <left/>
      <right/>
      <top/>
      <bottom/>
      <diagonal/>
    </border>
    <border>
      <left style="thin">
        <color rgb="FF0F766E"/>
      </left>
      <right style="thin">
        <color rgb="FF0F766E"/>
      </right>
      <top style="thin">
        <color rgb="FF0F766E"/>
      </top>
      <bottom style="thin">
        <color rgb="FF0F766E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/>
      <bottom style="thin">
        <color rgb="FFE2E8F0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 applyAlignment="1">
      <alignment vertical="center"/>
    </xf>
    <xf numFmtId="0" fontId="2" fillId="3" borderId="0" xfId="0" applyFont="1" applyFill="1" applyAlignment="1">
      <alignment vertical="center" wrapText="1"/>
    </xf>
    <xf numFmtId="0" fontId="3" fillId="4" borderId="1" xfId="0" applyFont="1" applyFill="1" applyBorder="1" applyAlignment="1">
      <alignment vertical="center" wrapText="1"/>
    </xf>
    <xf numFmtId="0" fontId="0" fillId="0" borderId="2" xfId="0" applyBorder="1"/>
    <xf numFmtId="3" fontId="0" fillId="0" borderId="2" xfId="0" applyNumberFormat="1" applyBorder="1"/>
    <xf numFmtId="164" fontId="0" fillId="0" borderId="2" xfId="0" applyNumberFormat="1" applyBorder="1"/>
    <xf numFmtId="0" fontId="4" fillId="5" borderId="0" xfId="0" applyFont="1" applyFill="1" applyAlignment="1">
      <alignment vertical="center" wrapText="1"/>
    </xf>
    <xf numFmtId="0" fontId="5" fillId="0" borderId="3" xfId="0" applyFont="1" applyBorder="1" applyAlignment="1">
      <alignment vertical="top" wrapText="1"/>
    </xf>
    <xf numFmtId="164" fontId="5" fillId="0" borderId="3" xfId="0" applyNumberFormat="1" applyFont="1" applyBorder="1" applyAlignment="1">
      <alignment vertical="top" wrapText="1"/>
    </xf>
    <xf numFmtId="165" fontId="5" fillId="0" borderId="3" xfId="0" applyNumberFormat="1" applyFont="1" applyBorder="1" applyAlignment="1">
      <alignment vertical="top" wrapText="1"/>
    </xf>
    <xf numFmtId="3" fontId="5" fillId="0" borderId="3" xfId="0" applyNumberFormat="1" applyFont="1" applyBorder="1" applyAlignment="1">
      <alignment vertical="top" wrapText="1"/>
    </xf>
  </cellXfs>
  <cellStyles count="1">
    <cellStyle name="Normal" xfId="0" builtinId="0"/>
  </cellStyles>
  <dxfs count="6">
    <dxf>
      <font>
        <color rgb="FF6B4F00"/>
      </font>
      <fill>
        <patternFill patternType="solid">
          <fgColor rgb="FFFFF4D6"/>
        </patternFill>
      </fill>
    </dxf>
    <dxf>
      <font>
        <color rgb="FF155A32"/>
      </font>
      <fill>
        <patternFill patternType="solid">
          <fgColor rgb="FFE7F5EC"/>
        </patternFill>
      </fill>
    </dxf>
    <dxf>
      <font>
        <color rgb="FF8A1C1C"/>
      </font>
      <fill>
        <patternFill patternType="solid">
          <fgColor rgb="FFFDE8E7"/>
        </patternFill>
      </fill>
    </dxf>
    <dxf>
      <font>
        <color rgb="FF6B4F00"/>
      </font>
      <fill>
        <patternFill patternType="solid">
          <fgColor rgb="FFFFF4D6"/>
        </patternFill>
      </fill>
    </dxf>
    <dxf>
      <font>
        <color rgb="FF155A32"/>
      </font>
      <fill>
        <patternFill patternType="solid">
          <fgColor rgb="FFE7F5EC"/>
        </patternFill>
      </fill>
    </dxf>
    <dxf>
      <font>
        <color rgb="FF8A1C1C"/>
      </font>
      <fill>
        <patternFill patternType="solid">
          <fgColor rgb="FFFDE8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EvidenceItemsTable" displayName="EvidenceItemsTable" ref="A4:H30" totalsRowShown="1" headerRowCount="1">
  <autoFilter ref="A4:H30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name="Source ID" totalsRowLabel="Total"/>
    <tableColumn id="2" name="Source" totalsRowFunction="none"/>
    <tableColumn id="3" name="Locator" totalsRowFunction="none"/>
    <tableColumn id="4" name="Field" totalsRowFunction="none"/>
    <tableColumn id="5" name="Value" totalsRowFunction="none"/>
    <tableColumn id="6" name="Quote" totalsRowFunction="none"/>
    <tableColumn id="7" name="Confidence" totalsRowFunction="none"/>
    <tableColumn id="8" name="Review Status" totalsRowFunction="no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name="EvidenceReviewTable" displayName="EvidenceReviewTable" ref="A4:J30" totalsRowShown="1" headerRowCount="1">
  <autoFilter ref="A4:J30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</autoFilter>
  <tableColumns count="10">
    <tableColumn id="1" name="Source ID" totalsRowLabel="Total"/>
    <tableColumn id="2" name="Source" totalsRowFunction="none"/>
    <tableColumn id="3" name="Locator" totalsRowFunction="none"/>
    <tableColumn id="4" name="Field" totalsRowFunction="none"/>
    <tableColumn id="5" name="Value" totalsRowFunction="none"/>
    <tableColumn id="6" name="Quote" totalsRowFunction="none"/>
    <tableColumn id="7" name="Confidence" totalsRowFunction="none"/>
    <tableColumn id="8" name="Review Status" totalsRowFunction="none"/>
    <tableColumn id="9" name="Reviewer Decision" totalsRowFunction="none"/>
    <tableColumn id="10" name="Reviewer Note" totalsRowFunction="non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name="AuditEventsTable" displayName="AuditEventsTable" ref="A4:G10" totalsRowShown="1" headerRowCount="1">
  <autoFilter ref="A4:G10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name="Timestamp" totalsRowLabel="Total"/>
    <tableColumn id="2" name="Event" totalsRowFunction="none"/>
    <tableColumn id="3" name="Command" totalsRowFunction="none"/>
    <tableColumn id="4" name="Source ID" totalsRowFunction="none"/>
    <tableColumn id="5" name="Input Hash" totalsRowFunction="none"/>
    <tableColumn id="6" name="Record Count" totalsRowFunction="none"/>
    <tableColumn id="7" name="Details" totalsRowFunction="no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1"/>
  <sheetViews>
    <sheetView workbookViewId="0" showGridLines="0"/>
  </sheetViews>
  <sheetFormatPr defaultRowHeight="15" outlineLevelRow="0" outlineLevelCol="0" x14ac:dyDescent="55"/>
  <cols>
    <col min="1" max="1" width="24" customWidth="1"/>
    <col min="2" max="2" width="16" customWidth="1"/>
    <col min="3" max="3" width="4" customWidth="1"/>
    <col min="4" max="8" width="16" customWidth="1"/>
  </cols>
  <sheetData>
    <row r="1" ht="34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30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4" ht="28" customHeight="1" spans="1:2" x14ac:dyDescent="0.25">
      <c r="A4" s="3" t="s">
        <v>2</v>
      </c>
      <c r="B4" s="3" t="s">
        <v>3</v>
      </c>
    </row>
    <row r="5" spans="1:2" x14ac:dyDescent="0.25">
      <c r="A5" s="4" t="s">
        <v>4</v>
      </c>
      <c r="B5" s="5">
        <f>COUNTA('Evidence'!$A$5:$A$30)</f>
        <v>26</v>
      </c>
    </row>
    <row r="6" spans="1:2" x14ac:dyDescent="0.25">
      <c r="A6" s="4" t="s">
        <v>5</v>
      </c>
      <c r="B6" s="5">
        <f>COUNTIF('Evidence'!$H$5:$H$30,"pending")</f>
        <v>26</v>
      </c>
    </row>
    <row r="7" spans="1:2" x14ac:dyDescent="0.25">
      <c r="A7" s="4" t="s">
        <v>6</v>
      </c>
      <c r="B7" s="5">
        <f>COUNTIF('Evidence'!$H$5:$H$30,"approved")</f>
        <v>0</v>
      </c>
    </row>
    <row r="8" spans="1:2" x14ac:dyDescent="0.25">
      <c r="A8" s="4" t="s">
        <v>7</v>
      </c>
      <c r="B8" s="5">
        <f>COUNTIF('Evidence'!$H$5:$H$30,"rejected")</f>
        <v>0</v>
      </c>
    </row>
    <row r="9" spans="1:2" x14ac:dyDescent="0.25">
      <c r="A9" s="4" t="s">
        <v>8</v>
      </c>
      <c r="B9" s="6">
        <f>IFERROR(AVERAGE('Evidence'!$G$5:$G$30),0)</f>
        <v>0.9403846153846154</v>
      </c>
    </row>
    <row r="11" ht="36" customHeight="1" spans="1:8" x14ac:dyDescent="0.25">
      <c r="A11" s="7" t="s">
        <v>9</v>
      </c>
      <c r="B11" s="7"/>
      <c r="C11" s="7"/>
      <c r="D11" s="7"/>
      <c r="E11" s="7"/>
      <c r="F11" s="7"/>
      <c r="G11" s="7"/>
      <c r="H11" s="7"/>
    </row>
  </sheetData>
  <mergeCells count="3">
    <mergeCell ref="A1:H1"/>
    <mergeCell ref="A2:H2"/>
    <mergeCell ref="A11:H11"/>
  </mergeCells>
  <pageMargins left="0.25" right="0.25" top="0.35" bottom="0.35" header="0.15" footer="0.15"/>
  <pageSetup paperSize="9" orientation="landscape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30"/>
  <sheetViews>
    <sheetView workbookViewId="0" showGridLines="0">
      <pane ySplit="4" topLeftCell="A5" activePane="bottomLeft" state="frozen"/>
      <selection pane="bottomLeft" activeCell="A5" sqref="A5"/>
    </sheetView>
  </sheetViews>
  <sheetFormatPr defaultRowHeight="15" outlineLevelRow="0" outlineLevelCol="0" x14ac:dyDescent="55"/>
  <cols>
    <col min="1" max="1" width="20" customWidth="1"/>
    <col min="2" max="2" width="36" customWidth="1"/>
    <col min="3" max="3" width="18" customWidth="1"/>
    <col min="4" max="4" width="22" customWidth="1"/>
    <col min="5" max="5" width="30" customWidth="1"/>
    <col min="6" max="6" width="58" customWidth="1"/>
    <col min="7" max="7" width="14" customWidth="1"/>
    <col min="8" max="8" width="18" customWidth="1"/>
  </cols>
  <sheetData>
    <row r="1" ht="34" customHeight="1" spans="1:8" x14ac:dyDescent="0.25">
      <c r="A1" s="1" t="s">
        <v>10</v>
      </c>
      <c r="B1" s="1"/>
      <c r="C1" s="1"/>
      <c r="D1" s="1"/>
      <c r="E1" s="1"/>
      <c r="F1" s="1"/>
      <c r="G1" s="1"/>
      <c r="H1" s="1"/>
    </row>
    <row r="2" ht="30" customHeight="1" spans="1:8" x14ac:dyDescent="0.25">
      <c r="A2" s="2" t="s">
        <v>11</v>
      </c>
      <c r="B2" s="2"/>
      <c r="C2" s="2"/>
      <c r="D2" s="2"/>
      <c r="E2" s="2"/>
      <c r="F2" s="2"/>
      <c r="G2" s="2"/>
      <c r="H2" s="2"/>
    </row>
    <row r="4" ht="28" customHeight="1" spans="1:8" x14ac:dyDescent="0.25">
      <c r="A4" s="3" t="s">
        <v>12</v>
      </c>
      <c r="B4" s="3" t="s">
        <v>13</v>
      </c>
      <c r="C4" s="3" t="s">
        <v>14</v>
      </c>
      <c r="D4" s="3" t="s">
        <v>15</v>
      </c>
      <c r="E4" s="3" t="s">
        <v>3</v>
      </c>
      <c r="F4" s="3" t="s">
        <v>16</v>
      </c>
      <c r="G4" s="3" t="s">
        <v>17</v>
      </c>
      <c r="H4" s="3" t="s">
        <v>18</v>
      </c>
    </row>
    <row r="5" ht="36" customHeight="1" spans="1:8" x14ac:dyDescent="0.25">
      <c r="A5" s="8" t="s">
        <v>19</v>
      </c>
      <c r="B5" s="8" t="s">
        <v>19</v>
      </c>
      <c r="C5" s="8" t="s">
        <v>20</v>
      </c>
      <c r="D5" s="8" t="s">
        <v>21</v>
      </c>
      <c r="E5" s="8" t="s">
        <v>22</v>
      </c>
      <c r="F5" s="8" t="s">
        <v>23</v>
      </c>
      <c r="G5" s="9">
        <v>1</v>
      </c>
      <c r="H5" s="8" t="s">
        <v>24</v>
      </c>
    </row>
    <row r="6" ht="36" customHeight="1" spans="1:8" x14ac:dyDescent="0.25">
      <c r="A6" s="8" t="s">
        <v>19</v>
      </c>
      <c r="B6" s="8" t="s">
        <v>19</v>
      </c>
      <c r="C6" s="8" t="s">
        <v>20</v>
      </c>
      <c r="D6" s="8" t="s">
        <v>25</v>
      </c>
      <c r="E6" s="8" t="s">
        <v>26</v>
      </c>
      <c r="F6" s="8" t="s">
        <v>27</v>
      </c>
      <c r="G6" s="9">
        <v>1</v>
      </c>
      <c r="H6" s="8" t="s">
        <v>24</v>
      </c>
    </row>
    <row r="7" ht="36" customHeight="1" spans="1:8" x14ac:dyDescent="0.25">
      <c r="A7" s="8" t="s">
        <v>19</v>
      </c>
      <c r="B7" s="8" t="s">
        <v>19</v>
      </c>
      <c r="C7" s="8" t="s">
        <v>20</v>
      </c>
      <c r="D7" s="8" t="s">
        <v>28</v>
      </c>
      <c r="E7" s="8" t="s">
        <v>29</v>
      </c>
      <c r="F7" s="8" t="s">
        <v>30</v>
      </c>
      <c r="G7" s="9">
        <v>1</v>
      </c>
      <c r="H7" s="8" t="s">
        <v>24</v>
      </c>
    </row>
    <row r="8" ht="36" customHeight="1" spans="1:8" x14ac:dyDescent="0.25">
      <c r="A8" s="8" t="s">
        <v>19</v>
      </c>
      <c r="B8" s="8" t="s">
        <v>19</v>
      </c>
      <c r="C8" s="8" t="s">
        <v>20</v>
      </c>
      <c r="D8" s="8" t="s">
        <v>31</v>
      </c>
      <c r="E8" s="8" t="s">
        <v>32</v>
      </c>
      <c r="F8" s="8" t="s">
        <v>33</v>
      </c>
      <c r="G8" s="9">
        <v>1</v>
      </c>
      <c r="H8" s="8" t="s">
        <v>24</v>
      </c>
    </row>
    <row r="9" ht="36" customHeight="1" spans="1:8" x14ac:dyDescent="0.25">
      <c r="A9" s="8" t="s">
        <v>19</v>
      </c>
      <c r="B9" s="8" t="s">
        <v>19</v>
      </c>
      <c r="C9" s="8" t="s">
        <v>20</v>
      </c>
      <c r="D9" s="8" t="s">
        <v>34</v>
      </c>
      <c r="E9" s="8" t="s">
        <v>35</v>
      </c>
      <c r="F9" s="8" t="s">
        <v>36</v>
      </c>
      <c r="G9" s="9">
        <v>1</v>
      </c>
      <c r="H9" s="8" t="s">
        <v>24</v>
      </c>
    </row>
    <row r="10" ht="36" customHeight="1" spans="1:8" x14ac:dyDescent="0.25">
      <c r="A10" s="8" t="s">
        <v>19</v>
      </c>
      <c r="B10" s="8" t="s">
        <v>19</v>
      </c>
      <c r="C10" s="8" t="s">
        <v>20</v>
      </c>
      <c r="D10" s="8" t="s">
        <v>37</v>
      </c>
      <c r="E10" s="8" t="s">
        <v>38</v>
      </c>
      <c r="F10" s="8" t="s">
        <v>39</v>
      </c>
      <c r="G10" s="9">
        <v>1</v>
      </c>
      <c r="H10" s="8" t="s">
        <v>24</v>
      </c>
    </row>
    <row r="11" ht="36" customHeight="1" spans="1:8" x14ac:dyDescent="0.25">
      <c r="A11" s="8" t="s">
        <v>19</v>
      </c>
      <c r="B11" s="8" t="s">
        <v>19</v>
      </c>
      <c r="C11" s="8" t="s">
        <v>20</v>
      </c>
      <c r="D11" s="8" t="s">
        <v>40</v>
      </c>
      <c r="E11" s="8" t="s">
        <v>41</v>
      </c>
      <c r="F11" s="8" t="s">
        <v>42</v>
      </c>
      <c r="G11" s="9">
        <v>1</v>
      </c>
      <c r="H11" s="8" t="s">
        <v>24</v>
      </c>
    </row>
    <row r="12" ht="36" customHeight="1" spans="1:8" x14ac:dyDescent="0.25">
      <c r="A12" s="8" t="s">
        <v>19</v>
      </c>
      <c r="B12" s="8" t="s">
        <v>19</v>
      </c>
      <c r="C12" s="8" t="s">
        <v>20</v>
      </c>
      <c r="D12" s="8" t="s">
        <v>43</v>
      </c>
      <c r="E12" s="8" t="s">
        <v>44</v>
      </c>
      <c r="F12" s="8" t="s">
        <v>45</v>
      </c>
      <c r="G12" s="9">
        <v>1</v>
      </c>
      <c r="H12" s="8" t="s">
        <v>24</v>
      </c>
    </row>
    <row r="13" ht="36" customHeight="1" spans="1:8" x14ac:dyDescent="0.25">
      <c r="A13" s="8" t="s">
        <v>19</v>
      </c>
      <c r="B13" s="8" t="s">
        <v>19</v>
      </c>
      <c r="C13" s="8" t="s">
        <v>20</v>
      </c>
      <c r="D13" s="8" t="s">
        <v>46</v>
      </c>
      <c r="E13" s="8" t="s">
        <v>47</v>
      </c>
      <c r="F13" s="8" t="s">
        <v>48</v>
      </c>
      <c r="G13" s="9">
        <v>1</v>
      </c>
      <c r="H13" s="8" t="s">
        <v>24</v>
      </c>
    </row>
    <row r="14" ht="36" customHeight="1" spans="1:8" x14ac:dyDescent="0.25">
      <c r="A14" s="8" t="s">
        <v>19</v>
      </c>
      <c r="B14" s="8" t="s">
        <v>19</v>
      </c>
      <c r="C14" s="8" t="s">
        <v>20</v>
      </c>
      <c r="D14" s="8" t="s">
        <v>49</v>
      </c>
      <c r="E14" s="8" t="s">
        <v>35</v>
      </c>
      <c r="F14" s="8" t="s">
        <v>36</v>
      </c>
      <c r="G14" s="9">
        <v>1</v>
      </c>
      <c r="H14" s="8" t="s">
        <v>24</v>
      </c>
    </row>
    <row r="15" ht="36" customHeight="1" spans="1:8" x14ac:dyDescent="0.25">
      <c r="A15" s="8" t="s">
        <v>50</v>
      </c>
      <c r="B15" s="8" t="s">
        <v>50</v>
      </c>
      <c r="C15" s="8" t="s">
        <v>20</v>
      </c>
      <c r="D15" s="8" t="s">
        <v>51</v>
      </c>
      <c r="E15" s="8" t="s">
        <v>52</v>
      </c>
      <c r="F15" s="8" t="s">
        <v>53</v>
      </c>
      <c r="G15" s="9">
        <v>0.9</v>
      </c>
      <c r="H15" s="8" t="s">
        <v>24</v>
      </c>
    </row>
    <row r="16" ht="36" customHeight="1" spans="1:8" x14ac:dyDescent="0.25">
      <c r="A16" s="8" t="s">
        <v>50</v>
      </c>
      <c r="B16" s="8" t="s">
        <v>50</v>
      </c>
      <c r="C16" s="8" t="s">
        <v>20</v>
      </c>
      <c r="D16" s="8" t="s">
        <v>54</v>
      </c>
      <c r="E16" s="8" t="s">
        <v>55</v>
      </c>
      <c r="F16" s="8" t="s">
        <v>56</v>
      </c>
      <c r="G16" s="9">
        <v>0.9</v>
      </c>
      <c r="H16" s="8" t="s">
        <v>24</v>
      </c>
    </row>
    <row r="17" ht="36" customHeight="1" spans="1:8" x14ac:dyDescent="0.25">
      <c r="A17" s="8" t="s">
        <v>50</v>
      </c>
      <c r="B17" s="8" t="s">
        <v>50</v>
      </c>
      <c r="C17" s="8" t="s">
        <v>20</v>
      </c>
      <c r="D17" s="8" t="s">
        <v>57</v>
      </c>
      <c r="E17" s="8" t="s">
        <v>58</v>
      </c>
      <c r="F17" s="8" t="s">
        <v>59</v>
      </c>
      <c r="G17" s="9">
        <v>0.9</v>
      </c>
      <c r="H17" s="8" t="s">
        <v>24</v>
      </c>
    </row>
    <row r="18" ht="36" customHeight="1" spans="1:8" x14ac:dyDescent="0.25">
      <c r="A18" s="8" t="s">
        <v>60</v>
      </c>
      <c r="B18" s="8" t="s">
        <v>60</v>
      </c>
      <c r="C18" s="8" t="s">
        <v>20</v>
      </c>
      <c r="D18" s="8" t="s">
        <v>61</v>
      </c>
      <c r="E18" s="8" t="s">
        <v>62</v>
      </c>
      <c r="F18" s="8" t="s">
        <v>63</v>
      </c>
      <c r="G18" s="9">
        <v>0.75</v>
      </c>
      <c r="H18" s="8" t="s">
        <v>24</v>
      </c>
    </row>
    <row r="19" ht="36" customHeight="1" spans="1:8" x14ac:dyDescent="0.25">
      <c r="A19" s="8" t="s">
        <v>60</v>
      </c>
      <c r="B19" s="8" t="s">
        <v>60</v>
      </c>
      <c r="C19" s="8" t="s">
        <v>20</v>
      </c>
      <c r="D19" s="8" t="s">
        <v>64</v>
      </c>
      <c r="E19" s="8" t="s">
        <v>65</v>
      </c>
      <c r="F19" s="8" t="s">
        <v>66</v>
      </c>
      <c r="G19" s="9">
        <v>0.9</v>
      </c>
      <c r="H19" s="8" t="s">
        <v>24</v>
      </c>
    </row>
    <row r="20" ht="36" customHeight="1" spans="1:8" x14ac:dyDescent="0.25">
      <c r="A20" s="8" t="s">
        <v>60</v>
      </c>
      <c r="B20" s="8" t="s">
        <v>60</v>
      </c>
      <c r="C20" s="8" t="s">
        <v>20</v>
      </c>
      <c r="D20" s="8" t="s">
        <v>67</v>
      </c>
      <c r="E20" s="8" t="s">
        <v>68</v>
      </c>
      <c r="F20" s="8" t="s">
        <v>69</v>
      </c>
      <c r="G20" s="9">
        <v>0.9</v>
      </c>
      <c r="H20" s="8" t="s">
        <v>24</v>
      </c>
    </row>
    <row r="21" ht="36" customHeight="1" spans="1:8" x14ac:dyDescent="0.25">
      <c r="A21" s="8" t="s">
        <v>60</v>
      </c>
      <c r="B21" s="8" t="s">
        <v>60</v>
      </c>
      <c r="C21" s="8" t="s">
        <v>20</v>
      </c>
      <c r="D21" s="8" t="s">
        <v>70</v>
      </c>
      <c r="E21" s="8" t="s">
        <v>6</v>
      </c>
      <c r="F21" s="8" t="s">
        <v>71</v>
      </c>
      <c r="G21" s="9">
        <v>0.9</v>
      </c>
      <c r="H21" s="8" t="s">
        <v>24</v>
      </c>
    </row>
    <row r="22" ht="36" customHeight="1" spans="1:8" x14ac:dyDescent="0.25">
      <c r="A22" s="8" t="s">
        <v>60</v>
      </c>
      <c r="B22" s="8" t="s">
        <v>60</v>
      </c>
      <c r="C22" s="8" t="s">
        <v>20</v>
      </c>
      <c r="D22" s="8" t="s">
        <v>72</v>
      </c>
      <c r="E22" s="8" t="s">
        <v>73</v>
      </c>
      <c r="F22" s="8" t="s">
        <v>74</v>
      </c>
      <c r="G22" s="9">
        <v>0.9</v>
      </c>
      <c r="H22" s="8" t="s">
        <v>24</v>
      </c>
    </row>
    <row r="23" ht="36" customHeight="1" spans="1:8" x14ac:dyDescent="0.25">
      <c r="A23" s="8" t="s">
        <v>60</v>
      </c>
      <c r="B23" s="8" t="s">
        <v>60</v>
      </c>
      <c r="C23" s="8" t="s">
        <v>20</v>
      </c>
      <c r="D23" s="8" t="s">
        <v>75</v>
      </c>
      <c r="E23" s="8" t="s">
        <v>58</v>
      </c>
      <c r="F23" s="8" t="s">
        <v>76</v>
      </c>
      <c r="G23" s="9">
        <v>0.9</v>
      </c>
      <c r="H23" s="8" t="s">
        <v>24</v>
      </c>
    </row>
    <row r="24" ht="36" customHeight="1" spans="1:8" x14ac:dyDescent="0.25">
      <c r="A24" s="8" t="s">
        <v>60</v>
      </c>
      <c r="B24" s="8" t="s">
        <v>60</v>
      </c>
      <c r="C24" s="8" t="s">
        <v>20</v>
      </c>
      <c r="D24" s="8" t="s">
        <v>77</v>
      </c>
      <c r="E24" s="8" t="s">
        <v>78</v>
      </c>
      <c r="F24" s="8" t="s">
        <v>79</v>
      </c>
      <c r="G24" s="9">
        <v>0.9</v>
      </c>
      <c r="H24" s="8" t="s">
        <v>24</v>
      </c>
    </row>
    <row r="25" ht="36" customHeight="1" spans="1:8" x14ac:dyDescent="0.25">
      <c r="A25" s="8" t="s">
        <v>60</v>
      </c>
      <c r="B25" s="8" t="s">
        <v>60</v>
      </c>
      <c r="C25" s="8" t="s">
        <v>20</v>
      </c>
      <c r="D25" s="8" t="s">
        <v>80</v>
      </c>
      <c r="E25" s="8" t="s">
        <v>81</v>
      </c>
      <c r="F25" s="8" t="s">
        <v>81</v>
      </c>
      <c r="G25" s="9">
        <v>0.6</v>
      </c>
      <c r="H25" s="8" t="s">
        <v>24</v>
      </c>
    </row>
    <row r="26" ht="36" customHeight="1" spans="1:8" x14ac:dyDescent="0.25">
      <c r="A26" s="8" t="s">
        <v>82</v>
      </c>
      <c r="B26" s="8" t="s">
        <v>82</v>
      </c>
      <c r="C26" s="8" t="s">
        <v>20</v>
      </c>
      <c r="D26" s="8" t="s">
        <v>83</v>
      </c>
      <c r="E26" s="8" t="s">
        <v>84</v>
      </c>
      <c r="F26" s="8" t="s">
        <v>85</v>
      </c>
      <c r="G26" s="9">
        <v>1</v>
      </c>
      <c r="H26" s="8" t="s">
        <v>24</v>
      </c>
    </row>
    <row r="27" ht="36" customHeight="1" spans="1:8" x14ac:dyDescent="0.25">
      <c r="A27" s="8" t="s">
        <v>82</v>
      </c>
      <c r="B27" s="8" t="s">
        <v>82</v>
      </c>
      <c r="C27" s="8" t="s">
        <v>20</v>
      </c>
      <c r="D27" s="8" t="s">
        <v>86</v>
      </c>
      <c r="E27" s="8" t="s">
        <v>87</v>
      </c>
      <c r="F27" s="8" t="s">
        <v>88</v>
      </c>
      <c r="G27" s="9">
        <v>1</v>
      </c>
      <c r="H27" s="8" t="s">
        <v>24</v>
      </c>
    </row>
    <row r="28" ht="36" customHeight="1" spans="1:8" x14ac:dyDescent="0.25">
      <c r="A28" s="8" t="s">
        <v>82</v>
      </c>
      <c r="B28" s="8" t="s">
        <v>82</v>
      </c>
      <c r="C28" s="8" t="s">
        <v>20</v>
      </c>
      <c r="D28" s="8" t="s">
        <v>89</v>
      </c>
      <c r="E28" s="8" t="s">
        <v>90</v>
      </c>
      <c r="F28" s="8" t="s">
        <v>91</v>
      </c>
      <c r="G28" s="9">
        <v>1</v>
      </c>
      <c r="H28" s="8" t="s">
        <v>24</v>
      </c>
    </row>
    <row r="29" ht="36" customHeight="1" spans="1:8" x14ac:dyDescent="0.25">
      <c r="A29" s="8" t="s">
        <v>82</v>
      </c>
      <c r="B29" s="8" t="s">
        <v>82</v>
      </c>
      <c r="C29" s="8" t="s">
        <v>20</v>
      </c>
      <c r="D29" s="8" t="s">
        <v>92</v>
      </c>
      <c r="E29" s="8" t="s">
        <v>93</v>
      </c>
      <c r="F29" s="8" t="s">
        <v>94</v>
      </c>
      <c r="G29" s="9">
        <v>1</v>
      </c>
      <c r="H29" s="8" t="s">
        <v>24</v>
      </c>
    </row>
    <row r="30" ht="36" customHeight="1" spans="1:8" x14ac:dyDescent="0.25">
      <c r="A30" s="8" t="s">
        <v>82</v>
      </c>
      <c r="B30" s="8" t="s">
        <v>82</v>
      </c>
      <c r="C30" s="8" t="s">
        <v>20</v>
      </c>
      <c r="D30" s="8" t="s">
        <v>95</v>
      </c>
      <c r="E30" s="8" t="s">
        <v>96</v>
      </c>
      <c r="F30" s="8" t="s">
        <v>97</v>
      </c>
      <c r="G30" s="9">
        <v>1</v>
      </c>
      <c r="H30" s="8" t="s">
        <v>24</v>
      </c>
    </row>
  </sheetData>
  <mergeCells count="2">
    <mergeCell ref="A1:H1"/>
    <mergeCell ref="A2:H2"/>
  </mergeCells>
  <conditionalFormatting sqref="H5:H30">
    <cfRule type="expression" dxfId="0" priority="1">
      <formula>$H5="pending"</formula>
    </cfRule>
    <cfRule type="expression" dxfId="1" priority="2">
      <formula>$H5="approved"</formula>
    </cfRule>
    <cfRule type="expression" dxfId="2" priority="3">
      <formula>$H5="rejected"</formula>
    </cfRule>
  </conditionalFormatting>
  <dataValidations count="1">
    <dataValidation type="list" sqref="H5:H30">
      <formula1>"pending,approved,rejected"</formula1>
    </dataValidation>
  </dataValidations>
  <pageMargins left="0.25" right="0.25" top="0.35" bottom="0.35" header="0.15" footer="0.15"/>
  <pageSetup paperSize="9" orientation="landscape" fitToWidth="1" fitToHeight="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30"/>
  <sheetViews>
    <sheetView workbookViewId="0" showGridLines="0">
      <pane ySplit="4" topLeftCell="A5" activePane="bottomLeft" state="frozen"/>
      <selection pane="bottomLeft" activeCell="A5" sqref="A5"/>
    </sheetView>
  </sheetViews>
  <sheetFormatPr defaultRowHeight="15" outlineLevelRow="0" outlineLevelCol="0" x14ac:dyDescent="55"/>
  <cols>
    <col min="1" max="1" width="20" customWidth="1"/>
    <col min="2" max="2" width="32" customWidth="1"/>
    <col min="3" max="3" width="16" customWidth="1"/>
    <col min="4" max="4" width="20" customWidth="1"/>
    <col min="5" max="5" width="26" customWidth="1"/>
    <col min="6" max="6" width="48" customWidth="1"/>
    <col min="7" max="7" width="12" customWidth="1"/>
    <col min="8" max="8" width="16" customWidth="1"/>
    <col min="9" max="9" width="18" customWidth="1"/>
    <col min="10" max="10" width="42" customWidth="1"/>
  </cols>
  <sheetData>
    <row r="1" ht="34" customHeight="1" spans="1:10" x14ac:dyDescent="0.25">
      <c r="A1" s="1" t="s">
        <v>98</v>
      </c>
      <c r="B1" s="1"/>
      <c r="C1" s="1"/>
      <c r="D1" s="1"/>
      <c r="E1" s="1"/>
      <c r="F1" s="1"/>
      <c r="G1" s="1"/>
      <c r="H1" s="1"/>
      <c r="I1" s="1"/>
      <c r="J1" s="1"/>
    </row>
    <row r="2" ht="30" customHeight="1" spans="1:10" x14ac:dyDescent="0.25">
      <c r="A2" s="2" t="s">
        <v>99</v>
      </c>
      <c r="B2" s="2"/>
      <c r="C2" s="2"/>
      <c r="D2" s="2"/>
      <c r="E2" s="2"/>
      <c r="F2" s="2"/>
      <c r="G2" s="2"/>
      <c r="H2" s="2"/>
      <c r="I2" s="2"/>
      <c r="J2" s="2"/>
    </row>
    <row r="4" ht="28" customHeight="1" spans="1:10" x14ac:dyDescent="0.25">
      <c r="A4" s="3" t="s">
        <v>12</v>
      </c>
      <c r="B4" s="3" t="s">
        <v>13</v>
      </c>
      <c r="C4" s="3" t="s">
        <v>14</v>
      </c>
      <c r="D4" s="3" t="s">
        <v>15</v>
      </c>
      <c r="E4" s="3" t="s">
        <v>3</v>
      </c>
      <c r="F4" s="3" t="s">
        <v>16</v>
      </c>
      <c r="G4" s="3" t="s">
        <v>17</v>
      </c>
      <c r="H4" s="3" t="s">
        <v>18</v>
      </c>
      <c r="I4" s="3" t="s">
        <v>100</v>
      </c>
      <c r="J4" s="3" t="s">
        <v>101</v>
      </c>
    </row>
    <row r="5" ht="36" customHeight="1" spans="1:10" x14ac:dyDescent="0.25">
      <c r="A5" s="8" t="s">
        <v>19</v>
      </c>
      <c r="B5" s="8" t="s">
        <v>19</v>
      </c>
      <c r="C5" s="8" t="s">
        <v>20</v>
      </c>
      <c r="D5" s="8" t="s">
        <v>21</v>
      </c>
      <c r="E5" s="8" t="s">
        <v>22</v>
      </c>
      <c r="F5" s="8" t="s">
        <v>23</v>
      </c>
      <c r="G5" s="9">
        <v>1</v>
      </c>
      <c r="H5" s="8" t="s">
        <v>24</v>
      </c>
      <c r="I5" s="8" t="s">
        <v>24</v>
      </c>
      <c r="J5" s="8" t="s">
        <v>102</v>
      </c>
    </row>
    <row r="6" ht="36" customHeight="1" spans="1:10" x14ac:dyDescent="0.25">
      <c r="A6" s="8" t="s">
        <v>19</v>
      </c>
      <c r="B6" s="8" t="s">
        <v>19</v>
      </c>
      <c r="C6" s="8" t="s">
        <v>20</v>
      </c>
      <c r="D6" s="8" t="s">
        <v>25</v>
      </c>
      <c r="E6" s="8" t="s">
        <v>26</v>
      </c>
      <c r="F6" s="8" t="s">
        <v>27</v>
      </c>
      <c r="G6" s="9">
        <v>1</v>
      </c>
      <c r="H6" s="8" t="s">
        <v>24</v>
      </c>
      <c r="I6" s="8" t="s">
        <v>24</v>
      </c>
      <c r="J6" s="8" t="s">
        <v>102</v>
      </c>
    </row>
    <row r="7" ht="36" customHeight="1" spans="1:10" x14ac:dyDescent="0.25">
      <c r="A7" s="8" t="s">
        <v>19</v>
      </c>
      <c r="B7" s="8" t="s">
        <v>19</v>
      </c>
      <c r="C7" s="8" t="s">
        <v>20</v>
      </c>
      <c r="D7" s="8" t="s">
        <v>28</v>
      </c>
      <c r="E7" s="8" t="s">
        <v>29</v>
      </c>
      <c r="F7" s="8" t="s">
        <v>30</v>
      </c>
      <c r="G7" s="9">
        <v>1</v>
      </c>
      <c r="H7" s="8" t="s">
        <v>24</v>
      </c>
      <c r="I7" s="8" t="s">
        <v>24</v>
      </c>
      <c r="J7" s="8" t="s">
        <v>102</v>
      </c>
    </row>
    <row r="8" ht="36" customHeight="1" spans="1:10" x14ac:dyDescent="0.25">
      <c r="A8" s="8" t="s">
        <v>19</v>
      </c>
      <c r="B8" s="8" t="s">
        <v>19</v>
      </c>
      <c r="C8" s="8" t="s">
        <v>20</v>
      </c>
      <c r="D8" s="8" t="s">
        <v>31</v>
      </c>
      <c r="E8" s="8" t="s">
        <v>32</v>
      </c>
      <c r="F8" s="8" t="s">
        <v>33</v>
      </c>
      <c r="G8" s="9">
        <v>1</v>
      </c>
      <c r="H8" s="8" t="s">
        <v>24</v>
      </c>
      <c r="I8" s="8" t="s">
        <v>24</v>
      </c>
      <c r="J8" s="8" t="s">
        <v>102</v>
      </c>
    </row>
    <row r="9" ht="36" customHeight="1" spans="1:10" x14ac:dyDescent="0.25">
      <c r="A9" s="8" t="s">
        <v>19</v>
      </c>
      <c r="B9" s="8" t="s">
        <v>19</v>
      </c>
      <c r="C9" s="8" t="s">
        <v>20</v>
      </c>
      <c r="D9" s="8" t="s">
        <v>34</v>
      </c>
      <c r="E9" s="8" t="s">
        <v>35</v>
      </c>
      <c r="F9" s="8" t="s">
        <v>36</v>
      </c>
      <c r="G9" s="9">
        <v>1</v>
      </c>
      <c r="H9" s="8" t="s">
        <v>24</v>
      </c>
      <c r="I9" s="8" t="s">
        <v>24</v>
      </c>
      <c r="J9" s="8" t="s">
        <v>102</v>
      </c>
    </row>
    <row r="10" ht="36" customHeight="1" spans="1:10" x14ac:dyDescent="0.25">
      <c r="A10" s="8" t="s">
        <v>19</v>
      </c>
      <c r="B10" s="8" t="s">
        <v>19</v>
      </c>
      <c r="C10" s="8" t="s">
        <v>20</v>
      </c>
      <c r="D10" s="8" t="s">
        <v>37</v>
      </c>
      <c r="E10" s="8" t="s">
        <v>38</v>
      </c>
      <c r="F10" s="8" t="s">
        <v>39</v>
      </c>
      <c r="G10" s="9">
        <v>1</v>
      </c>
      <c r="H10" s="8" t="s">
        <v>24</v>
      </c>
      <c r="I10" s="8" t="s">
        <v>24</v>
      </c>
      <c r="J10" s="8" t="s">
        <v>102</v>
      </c>
    </row>
    <row r="11" ht="36" customHeight="1" spans="1:10" x14ac:dyDescent="0.25">
      <c r="A11" s="8" t="s">
        <v>19</v>
      </c>
      <c r="B11" s="8" t="s">
        <v>19</v>
      </c>
      <c r="C11" s="8" t="s">
        <v>20</v>
      </c>
      <c r="D11" s="8" t="s">
        <v>40</v>
      </c>
      <c r="E11" s="8" t="s">
        <v>41</v>
      </c>
      <c r="F11" s="8" t="s">
        <v>42</v>
      </c>
      <c r="G11" s="9">
        <v>1</v>
      </c>
      <c r="H11" s="8" t="s">
        <v>24</v>
      </c>
      <c r="I11" s="8" t="s">
        <v>24</v>
      </c>
      <c r="J11" s="8" t="s">
        <v>102</v>
      </c>
    </row>
    <row r="12" ht="36" customHeight="1" spans="1:10" x14ac:dyDescent="0.25">
      <c r="A12" s="8" t="s">
        <v>19</v>
      </c>
      <c r="B12" s="8" t="s">
        <v>19</v>
      </c>
      <c r="C12" s="8" t="s">
        <v>20</v>
      </c>
      <c r="D12" s="8" t="s">
        <v>43</v>
      </c>
      <c r="E12" s="8" t="s">
        <v>44</v>
      </c>
      <c r="F12" s="8" t="s">
        <v>45</v>
      </c>
      <c r="G12" s="9">
        <v>1</v>
      </c>
      <c r="H12" s="8" t="s">
        <v>24</v>
      </c>
      <c r="I12" s="8" t="s">
        <v>24</v>
      </c>
      <c r="J12" s="8" t="s">
        <v>102</v>
      </c>
    </row>
    <row r="13" ht="36" customHeight="1" spans="1:10" x14ac:dyDescent="0.25">
      <c r="A13" s="8" t="s">
        <v>19</v>
      </c>
      <c r="B13" s="8" t="s">
        <v>19</v>
      </c>
      <c r="C13" s="8" t="s">
        <v>20</v>
      </c>
      <c r="D13" s="8" t="s">
        <v>46</v>
      </c>
      <c r="E13" s="8" t="s">
        <v>47</v>
      </c>
      <c r="F13" s="8" t="s">
        <v>48</v>
      </c>
      <c r="G13" s="9">
        <v>1</v>
      </c>
      <c r="H13" s="8" t="s">
        <v>24</v>
      </c>
      <c r="I13" s="8" t="s">
        <v>24</v>
      </c>
      <c r="J13" s="8" t="s">
        <v>102</v>
      </c>
    </row>
    <row r="14" ht="36" customHeight="1" spans="1:10" x14ac:dyDescent="0.25">
      <c r="A14" s="8" t="s">
        <v>19</v>
      </c>
      <c r="B14" s="8" t="s">
        <v>19</v>
      </c>
      <c r="C14" s="8" t="s">
        <v>20</v>
      </c>
      <c r="D14" s="8" t="s">
        <v>49</v>
      </c>
      <c r="E14" s="8" t="s">
        <v>35</v>
      </c>
      <c r="F14" s="8" t="s">
        <v>36</v>
      </c>
      <c r="G14" s="9">
        <v>1</v>
      </c>
      <c r="H14" s="8" t="s">
        <v>24</v>
      </c>
      <c r="I14" s="8" t="s">
        <v>24</v>
      </c>
      <c r="J14" s="8" t="s">
        <v>102</v>
      </c>
    </row>
    <row r="15" ht="36" customHeight="1" spans="1:10" x14ac:dyDescent="0.25">
      <c r="A15" s="8" t="s">
        <v>50</v>
      </c>
      <c r="B15" s="8" t="s">
        <v>50</v>
      </c>
      <c r="C15" s="8" t="s">
        <v>20</v>
      </c>
      <c r="D15" s="8" t="s">
        <v>51</v>
      </c>
      <c r="E15" s="8" t="s">
        <v>52</v>
      </c>
      <c r="F15" s="8" t="s">
        <v>53</v>
      </c>
      <c r="G15" s="9">
        <v>0.9</v>
      </c>
      <c r="H15" s="8" t="s">
        <v>24</v>
      </c>
      <c r="I15" s="8" t="s">
        <v>24</v>
      </c>
      <c r="J15" s="8" t="s">
        <v>102</v>
      </c>
    </row>
    <row r="16" ht="36" customHeight="1" spans="1:10" x14ac:dyDescent="0.25">
      <c r="A16" s="8" t="s">
        <v>50</v>
      </c>
      <c r="B16" s="8" t="s">
        <v>50</v>
      </c>
      <c r="C16" s="8" t="s">
        <v>20</v>
      </c>
      <c r="D16" s="8" t="s">
        <v>54</v>
      </c>
      <c r="E16" s="8" t="s">
        <v>55</v>
      </c>
      <c r="F16" s="8" t="s">
        <v>56</v>
      </c>
      <c r="G16" s="9">
        <v>0.9</v>
      </c>
      <c r="H16" s="8" t="s">
        <v>24</v>
      </c>
      <c r="I16" s="8" t="s">
        <v>24</v>
      </c>
      <c r="J16" s="8" t="s">
        <v>102</v>
      </c>
    </row>
    <row r="17" ht="36" customHeight="1" spans="1:10" x14ac:dyDescent="0.25">
      <c r="A17" s="8" t="s">
        <v>50</v>
      </c>
      <c r="B17" s="8" t="s">
        <v>50</v>
      </c>
      <c r="C17" s="8" t="s">
        <v>20</v>
      </c>
      <c r="D17" s="8" t="s">
        <v>57</v>
      </c>
      <c r="E17" s="8" t="s">
        <v>58</v>
      </c>
      <c r="F17" s="8" t="s">
        <v>59</v>
      </c>
      <c r="G17" s="9">
        <v>0.9</v>
      </c>
      <c r="H17" s="8" t="s">
        <v>24</v>
      </c>
      <c r="I17" s="8" t="s">
        <v>24</v>
      </c>
      <c r="J17" s="8" t="s">
        <v>102</v>
      </c>
    </row>
    <row r="18" ht="36" customHeight="1" spans="1:10" x14ac:dyDescent="0.25">
      <c r="A18" s="8" t="s">
        <v>60</v>
      </c>
      <c r="B18" s="8" t="s">
        <v>60</v>
      </c>
      <c r="C18" s="8" t="s">
        <v>20</v>
      </c>
      <c r="D18" s="8" t="s">
        <v>61</v>
      </c>
      <c r="E18" s="8" t="s">
        <v>62</v>
      </c>
      <c r="F18" s="8" t="s">
        <v>63</v>
      </c>
      <c r="G18" s="9">
        <v>0.75</v>
      </c>
      <c r="H18" s="8" t="s">
        <v>24</v>
      </c>
      <c r="I18" s="8" t="s">
        <v>24</v>
      </c>
      <c r="J18" s="8" t="s">
        <v>102</v>
      </c>
    </row>
    <row r="19" ht="36" customHeight="1" spans="1:10" x14ac:dyDescent="0.25">
      <c r="A19" s="8" t="s">
        <v>60</v>
      </c>
      <c r="B19" s="8" t="s">
        <v>60</v>
      </c>
      <c r="C19" s="8" t="s">
        <v>20</v>
      </c>
      <c r="D19" s="8" t="s">
        <v>64</v>
      </c>
      <c r="E19" s="8" t="s">
        <v>65</v>
      </c>
      <c r="F19" s="8" t="s">
        <v>66</v>
      </c>
      <c r="G19" s="9">
        <v>0.9</v>
      </c>
      <c r="H19" s="8" t="s">
        <v>24</v>
      </c>
      <c r="I19" s="8" t="s">
        <v>24</v>
      </c>
      <c r="J19" s="8" t="s">
        <v>102</v>
      </c>
    </row>
    <row r="20" ht="36" customHeight="1" spans="1:10" x14ac:dyDescent="0.25">
      <c r="A20" s="8" t="s">
        <v>60</v>
      </c>
      <c r="B20" s="8" t="s">
        <v>60</v>
      </c>
      <c r="C20" s="8" t="s">
        <v>20</v>
      </c>
      <c r="D20" s="8" t="s">
        <v>67</v>
      </c>
      <c r="E20" s="8" t="s">
        <v>68</v>
      </c>
      <c r="F20" s="8" t="s">
        <v>69</v>
      </c>
      <c r="G20" s="9">
        <v>0.9</v>
      </c>
      <c r="H20" s="8" t="s">
        <v>24</v>
      </c>
      <c r="I20" s="8" t="s">
        <v>24</v>
      </c>
      <c r="J20" s="8" t="s">
        <v>102</v>
      </c>
    </row>
    <row r="21" ht="36" customHeight="1" spans="1:10" x14ac:dyDescent="0.25">
      <c r="A21" s="8" t="s">
        <v>60</v>
      </c>
      <c r="B21" s="8" t="s">
        <v>60</v>
      </c>
      <c r="C21" s="8" t="s">
        <v>20</v>
      </c>
      <c r="D21" s="8" t="s">
        <v>70</v>
      </c>
      <c r="E21" s="8" t="s">
        <v>6</v>
      </c>
      <c r="F21" s="8" t="s">
        <v>71</v>
      </c>
      <c r="G21" s="9">
        <v>0.9</v>
      </c>
      <c r="H21" s="8" t="s">
        <v>24</v>
      </c>
      <c r="I21" s="8" t="s">
        <v>24</v>
      </c>
      <c r="J21" s="8" t="s">
        <v>102</v>
      </c>
    </row>
    <row r="22" ht="36" customHeight="1" spans="1:10" x14ac:dyDescent="0.25">
      <c r="A22" s="8" t="s">
        <v>60</v>
      </c>
      <c r="B22" s="8" t="s">
        <v>60</v>
      </c>
      <c r="C22" s="8" t="s">
        <v>20</v>
      </c>
      <c r="D22" s="8" t="s">
        <v>72</v>
      </c>
      <c r="E22" s="8" t="s">
        <v>73</v>
      </c>
      <c r="F22" s="8" t="s">
        <v>74</v>
      </c>
      <c r="G22" s="9">
        <v>0.9</v>
      </c>
      <c r="H22" s="8" t="s">
        <v>24</v>
      </c>
      <c r="I22" s="8" t="s">
        <v>24</v>
      </c>
      <c r="J22" s="8" t="s">
        <v>102</v>
      </c>
    </row>
    <row r="23" ht="36" customHeight="1" spans="1:10" x14ac:dyDescent="0.25">
      <c r="A23" s="8" t="s">
        <v>60</v>
      </c>
      <c r="B23" s="8" t="s">
        <v>60</v>
      </c>
      <c r="C23" s="8" t="s">
        <v>20</v>
      </c>
      <c r="D23" s="8" t="s">
        <v>75</v>
      </c>
      <c r="E23" s="8" t="s">
        <v>58</v>
      </c>
      <c r="F23" s="8" t="s">
        <v>76</v>
      </c>
      <c r="G23" s="9">
        <v>0.9</v>
      </c>
      <c r="H23" s="8" t="s">
        <v>24</v>
      </c>
      <c r="I23" s="8" t="s">
        <v>24</v>
      </c>
      <c r="J23" s="8" t="s">
        <v>102</v>
      </c>
    </row>
    <row r="24" ht="36" customHeight="1" spans="1:10" x14ac:dyDescent="0.25">
      <c r="A24" s="8" t="s">
        <v>60</v>
      </c>
      <c r="B24" s="8" t="s">
        <v>60</v>
      </c>
      <c r="C24" s="8" t="s">
        <v>20</v>
      </c>
      <c r="D24" s="8" t="s">
        <v>77</v>
      </c>
      <c r="E24" s="8" t="s">
        <v>78</v>
      </c>
      <c r="F24" s="8" t="s">
        <v>79</v>
      </c>
      <c r="G24" s="9">
        <v>0.9</v>
      </c>
      <c r="H24" s="8" t="s">
        <v>24</v>
      </c>
      <c r="I24" s="8" t="s">
        <v>24</v>
      </c>
      <c r="J24" s="8" t="s">
        <v>102</v>
      </c>
    </row>
    <row r="25" ht="36" customHeight="1" spans="1:10" x14ac:dyDescent="0.25">
      <c r="A25" s="8" t="s">
        <v>60</v>
      </c>
      <c r="B25" s="8" t="s">
        <v>60</v>
      </c>
      <c r="C25" s="8" t="s">
        <v>20</v>
      </c>
      <c r="D25" s="8" t="s">
        <v>80</v>
      </c>
      <c r="E25" s="8" t="s">
        <v>81</v>
      </c>
      <c r="F25" s="8" t="s">
        <v>81</v>
      </c>
      <c r="G25" s="9">
        <v>0.6</v>
      </c>
      <c r="H25" s="8" t="s">
        <v>24</v>
      </c>
      <c r="I25" s="8" t="s">
        <v>24</v>
      </c>
      <c r="J25" s="8" t="s">
        <v>102</v>
      </c>
    </row>
    <row r="26" ht="36" customHeight="1" spans="1:10" x14ac:dyDescent="0.25">
      <c r="A26" s="8" t="s">
        <v>82</v>
      </c>
      <c r="B26" s="8" t="s">
        <v>82</v>
      </c>
      <c r="C26" s="8" t="s">
        <v>20</v>
      </c>
      <c r="D26" s="8" t="s">
        <v>83</v>
      </c>
      <c r="E26" s="8" t="s">
        <v>84</v>
      </c>
      <c r="F26" s="8" t="s">
        <v>85</v>
      </c>
      <c r="G26" s="9">
        <v>1</v>
      </c>
      <c r="H26" s="8" t="s">
        <v>24</v>
      </c>
      <c r="I26" s="8" t="s">
        <v>24</v>
      </c>
      <c r="J26" s="8" t="s">
        <v>102</v>
      </c>
    </row>
    <row r="27" ht="36" customHeight="1" spans="1:10" x14ac:dyDescent="0.25">
      <c r="A27" s="8" t="s">
        <v>82</v>
      </c>
      <c r="B27" s="8" t="s">
        <v>82</v>
      </c>
      <c r="C27" s="8" t="s">
        <v>20</v>
      </c>
      <c r="D27" s="8" t="s">
        <v>86</v>
      </c>
      <c r="E27" s="8" t="s">
        <v>87</v>
      </c>
      <c r="F27" s="8" t="s">
        <v>88</v>
      </c>
      <c r="G27" s="9">
        <v>1</v>
      </c>
      <c r="H27" s="8" t="s">
        <v>24</v>
      </c>
      <c r="I27" s="8" t="s">
        <v>24</v>
      </c>
      <c r="J27" s="8" t="s">
        <v>102</v>
      </c>
    </row>
    <row r="28" ht="36" customHeight="1" spans="1:10" x14ac:dyDescent="0.25">
      <c r="A28" s="8" t="s">
        <v>82</v>
      </c>
      <c r="B28" s="8" t="s">
        <v>82</v>
      </c>
      <c r="C28" s="8" t="s">
        <v>20</v>
      </c>
      <c r="D28" s="8" t="s">
        <v>89</v>
      </c>
      <c r="E28" s="8" t="s">
        <v>90</v>
      </c>
      <c r="F28" s="8" t="s">
        <v>91</v>
      </c>
      <c r="G28" s="9">
        <v>1</v>
      </c>
      <c r="H28" s="8" t="s">
        <v>24</v>
      </c>
      <c r="I28" s="8" t="s">
        <v>24</v>
      </c>
      <c r="J28" s="8" t="s">
        <v>102</v>
      </c>
    </row>
    <row r="29" ht="36" customHeight="1" spans="1:10" x14ac:dyDescent="0.25">
      <c r="A29" s="8" t="s">
        <v>82</v>
      </c>
      <c r="B29" s="8" t="s">
        <v>82</v>
      </c>
      <c r="C29" s="8" t="s">
        <v>20</v>
      </c>
      <c r="D29" s="8" t="s">
        <v>92</v>
      </c>
      <c r="E29" s="8" t="s">
        <v>93</v>
      </c>
      <c r="F29" s="8" t="s">
        <v>94</v>
      </c>
      <c r="G29" s="9">
        <v>1</v>
      </c>
      <c r="H29" s="8" t="s">
        <v>24</v>
      </c>
      <c r="I29" s="8" t="s">
        <v>24</v>
      </c>
      <c r="J29" s="8" t="s">
        <v>102</v>
      </c>
    </row>
    <row r="30" ht="36" customHeight="1" spans="1:10" x14ac:dyDescent="0.25">
      <c r="A30" s="8" t="s">
        <v>82</v>
      </c>
      <c r="B30" s="8" t="s">
        <v>82</v>
      </c>
      <c r="C30" s="8" t="s">
        <v>20</v>
      </c>
      <c r="D30" s="8" t="s">
        <v>95</v>
      </c>
      <c r="E30" s="8" t="s">
        <v>96</v>
      </c>
      <c r="F30" s="8" t="s">
        <v>97</v>
      </c>
      <c r="G30" s="9">
        <v>1</v>
      </c>
      <c r="H30" s="8" t="s">
        <v>24</v>
      </c>
      <c r="I30" s="8" t="s">
        <v>24</v>
      </c>
      <c r="J30" s="8" t="s">
        <v>102</v>
      </c>
    </row>
  </sheetData>
  <mergeCells count="2">
    <mergeCell ref="A1:J1"/>
    <mergeCell ref="A2:J2"/>
  </mergeCells>
  <conditionalFormatting sqref="I5:I30">
    <cfRule type="expression" dxfId="3" priority="1">
      <formula>$I5="pending"</formula>
    </cfRule>
    <cfRule type="expression" dxfId="4" priority="2">
      <formula>$I5="approved"</formula>
    </cfRule>
    <cfRule type="expression" dxfId="5" priority="3">
      <formula>$I5="rejected"</formula>
    </cfRule>
  </conditionalFormatting>
  <dataValidations count="1">
    <dataValidation type="list" sqref="I5:I30">
      <formula1>"pending,approved,rejected"</formula1>
    </dataValidation>
  </dataValidations>
  <pageMargins left="0.25" right="0.25" top="0.35" bottom="0.35" header="0.15" footer="0.15"/>
  <pageSetup paperSize="9" orientation="landscape" fitToWidth="1" fitToHeight="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Views>
    <sheetView workbookViewId="0" showGridLines="0">
      <pane ySplit="4" topLeftCell="A5" activePane="bottomLeft" state="frozen"/>
      <selection pane="bottomLeft" activeCell="A5" sqref="A5"/>
    </sheetView>
  </sheetViews>
  <sheetFormatPr defaultRowHeight="15" outlineLevelRow="0" outlineLevelCol="0" x14ac:dyDescent="55"/>
  <cols>
    <col min="1" max="1" width="21" customWidth="1"/>
    <col min="2" max="2" width="22" customWidth="1"/>
    <col min="3" max="3" width="18" customWidth="1"/>
    <col min="4" max="4" width="20" customWidth="1"/>
    <col min="5" max="5" width="34" customWidth="1"/>
    <col min="6" max="6" width="14" customWidth="1"/>
    <col min="7" max="7" width="60" customWidth="1"/>
  </cols>
  <sheetData>
    <row r="1" ht="34" customHeight="1" spans="1:7" x14ac:dyDescent="0.25">
      <c r="A1" s="1" t="s">
        <v>103</v>
      </c>
      <c r="B1" s="1"/>
      <c r="C1" s="1"/>
      <c r="D1" s="1"/>
      <c r="E1" s="1"/>
      <c r="F1" s="1"/>
      <c r="G1" s="1"/>
    </row>
    <row r="2" ht="30" customHeight="1" spans="1:7" x14ac:dyDescent="0.25">
      <c r="A2" s="2" t="s">
        <v>104</v>
      </c>
      <c r="B2" s="2"/>
      <c r="C2" s="2"/>
      <c r="D2" s="2"/>
      <c r="E2" s="2"/>
      <c r="F2" s="2"/>
      <c r="G2" s="2"/>
    </row>
    <row r="4" ht="28" customHeight="1" spans="1:7" x14ac:dyDescent="0.25">
      <c r="A4" s="3" t="s">
        <v>105</v>
      </c>
      <c r="B4" s="3" t="s">
        <v>106</v>
      </c>
      <c r="C4" s="3" t="s">
        <v>107</v>
      </c>
      <c r="D4" s="3" t="s">
        <v>12</v>
      </c>
      <c r="E4" s="3" t="s">
        <v>108</v>
      </c>
      <c r="F4" s="3" t="s">
        <v>109</v>
      </c>
      <c r="G4" s="3" t="s">
        <v>110</v>
      </c>
    </row>
    <row r="5" ht="36" customHeight="1" spans="1:7" x14ac:dyDescent="0.25">
      <c r="A5" s="10" t="s">
        <v>111</v>
      </c>
      <c r="B5" s="8" t="s">
        <v>112</v>
      </c>
      <c r="C5" s="8" t="s">
        <v>113</v>
      </c>
      <c r="D5" s="8" t="s">
        <v>102</v>
      </c>
      <c r="E5" s="8" t="s">
        <v>102</v>
      </c>
      <c r="F5" s="11">
        <v>0</v>
      </c>
      <c r="G5" s="8" t="s">
        <v>114</v>
      </c>
    </row>
    <row r="6" ht="36" customHeight="1" spans="1:7" x14ac:dyDescent="0.25">
      <c r="A6" s="10" t="s">
        <v>111</v>
      </c>
      <c r="B6" s="8" t="s">
        <v>115</v>
      </c>
      <c r="C6" s="8" t="s">
        <v>102</v>
      </c>
      <c r="D6" s="8" t="s">
        <v>19</v>
      </c>
      <c r="E6" s="8" t="s">
        <v>116</v>
      </c>
      <c r="F6" s="11">
        <v>10</v>
      </c>
      <c r="G6" s="8" t="s">
        <v>117</v>
      </c>
    </row>
    <row r="7" ht="36" customHeight="1" spans="1:7" x14ac:dyDescent="0.25">
      <c r="A7" s="10" t="s">
        <v>111</v>
      </c>
      <c r="B7" s="8" t="s">
        <v>115</v>
      </c>
      <c r="C7" s="8" t="s">
        <v>102</v>
      </c>
      <c r="D7" s="8" t="s">
        <v>50</v>
      </c>
      <c r="E7" s="8" t="s">
        <v>118</v>
      </c>
      <c r="F7" s="11">
        <v>3</v>
      </c>
      <c r="G7" s="8" t="s">
        <v>119</v>
      </c>
    </row>
    <row r="8" ht="36" customHeight="1" spans="1:7" x14ac:dyDescent="0.25">
      <c r="A8" s="10" t="s">
        <v>111</v>
      </c>
      <c r="B8" s="8" t="s">
        <v>115</v>
      </c>
      <c r="C8" s="8" t="s">
        <v>102</v>
      </c>
      <c r="D8" s="8" t="s">
        <v>60</v>
      </c>
      <c r="E8" s="8" t="s">
        <v>120</v>
      </c>
      <c r="F8" s="11">
        <v>8</v>
      </c>
      <c r="G8" s="8" t="s">
        <v>121</v>
      </c>
    </row>
    <row r="9" ht="36" customHeight="1" spans="1:7" x14ac:dyDescent="0.25">
      <c r="A9" s="10" t="s">
        <v>111</v>
      </c>
      <c r="B9" s="8" t="s">
        <v>115</v>
      </c>
      <c r="C9" s="8" t="s">
        <v>102</v>
      </c>
      <c r="D9" s="8" t="s">
        <v>82</v>
      </c>
      <c r="E9" s="8" t="s">
        <v>122</v>
      </c>
      <c r="F9" s="11">
        <v>5</v>
      </c>
      <c r="G9" s="8" t="s">
        <v>123</v>
      </c>
    </row>
    <row r="10" ht="36" customHeight="1" spans="1:7" x14ac:dyDescent="0.25">
      <c r="A10" s="10" t="s">
        <v>124</v>
      </c>
      <c r="B10" s="8" t="s">
        <v>125</v>
      </c>
      <c r="C10" s="8" t="s">
        <v>113</v>
      </c>
      <c r="D10" s="8" t="s">
        <v>102</v>
      </c>
      <c r="E10" s="8" t="s">
        <v>102</v>
      </c>
      <c r="F10" s="11">
        <v>26</v>
      </c>
      <c r="G10" s="8" t="s">
        <v>126</v>
      </c>
    </row>
  </sheetData>
  <mergeCells count="2">
    <mergeCell ref="A1:G1"/>
    <mergeCell ref="A2:G2"/>
  </mergeCells>
  <pageMargins left="0.25" right="0.25" top="0.35" bottom="0.35" header="0.15" footer="0.15"/>
  <pageSetup paperSize="9" orientation="landscape" fitToWidth="1" fitToHeight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Summary</vt:lpstr>
      <vt:lpstr>Evidence</vt:lpstr>
      <vt:lpstr>Review Queue</vt:lpstr>
      <vt:lpstr>Audit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regulated-workflow-demo</dc:creator>
  <dc:title/>
  <dc:subject/>
  <dc:description/>
  <cp:keywords/>
  <cp:category/>
  <cp:lastModifiedBy>regulated-workflow-demo</cp:lastModifiedBy>
  <dcterms:created xsi:type="dcterms:W3CDTF">2026-01-01T00:00:00Z</dcterms:created>
  <dcterms:modified xsi:type="dcterms:W3CDTF">2026-01-01T00:00:00Z</dcterms:modified>
</cp:coreProperties>
</file>