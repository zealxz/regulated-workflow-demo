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f3a454019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f2d8bc85794778"/>
    <x:sheet xmlns:r="http://schemas.openxmlformats.org/officeDocument/2006/relationships" name="Evidence" sheetId="2" r:id="Raa8bf89620b34931"/>
    <x:sheet xmlns:r="http://schemas.openxmlformats.org/officeDocument/2006/relationships" name="Review Queue" sheetId="3" r:id="Rc75ff5c7baf64e0d"/>
    <x:sheet xmlns:r="http://schemas.openxmlformats.org/officeDocument/2006/relationships" name="Audit" sheetId="4" r:id="R114e83671758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6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1"/>
      <x:color rgb="FF6B4F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</x:fills>
  <x:borders count="12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202" fontId="0" fillId="0" borderId="1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6B4F00"/>
      </x:font>
      <x:fill>
        <x:patternFill patternType="solid">
          <x:bgColor rgb="FFFFF4D6"/>
        </x:patternFill>
      </x:fill>
    </x:dxf>
    <x:dxf>
      <x:font>
        <x:color rgb="FF155A32"/>
      </x:font>
      <x:fill>
        <x:patternFill patternType="solid">
          <x:bgColor rgb="FFE7F5EC"/>
        </x:patternFill>
      </x:fill>
    </x:dxf>
    <x:dxf>
      <x:font>
        <x:color rgb="FF8A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82a307cfa4738" /><Relationship Type="http://schemas.openxmlformats.org/officeDocument/2006/relationships/theme" Target="/xl/theme/theme1.xml" Id="R1d48b2f231df4554" /><Relationship Type="http://schemas.openxmlformats.org/officeDocument/2006/relationships/sharedStrings" Target="/xl/sharedStrings.xml" Id="Rebcbd644eab74963" /><Relationship Type="http://schemas.openxmlformats.org/officeDocument/2006/relationships/worksheet" Target="/xl/worksheets/sheet1.xml" Id="R8ef2d8bc85794778" /><Relationship Type="http://schemas.openxmlformats.org/officeDocument/2006/relationships/worksheet" Target="/xl/worksheets/sheet2.xml" Id="Raa8bf89620b34931" /><Relationship Type="http://schemas.openxmlformats.org/officeDocument/2006/relationships/worksheet" Target="/xl/worksheets/sheet3.xml" Id="Rc75ff5c7baf64e0d" /><Relationship Type="http://schemas.openxmlformats.org/officeDocument/2006/relationships/worksheet" Target="/xl/worksheets/sheet4.xml" Id="R114e8367175842f4" /></Relationships>
</file>

<file path=xl/tables/table1.xml><?xml version="1.0" encoding="utf-8"?>
<x:table xmlns:x="http://schemas.openxmlformats.org/spreadsheetml/2006/main" id="2" name="EvidenceItemsTable" displayName="EvidenceItemsTable" ref="A4:H30" headerRowCount="1" totalsRowCount="0" totalsRowShown="0">
  <x:tableColumns count="8">
    <x:tableColumn id="1" name="Source ID"/>
    <x:tableColumn id="2" name="Source"/>
    <x:tableColumn id="3" name="Locator"/>
    <x:tableColumn id="4" name="Field"/>
    <x:tableColumn id="5" name="Value"/>
    <x:tableColumn id="6" name="Quote"/>
    <x:tableColumn id="7" name="Confidence"/>
    <x:tableColumn id="8" name="Review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videnceReviewTable" displayName="EvidenceReviewTable" ref="A4:J30" headerRowCount="1" totalsRowCount="0" totalsRowShown="0">
  <x:tableColumns count="10">
    <x:tableColumn id="1" name="Source ID"/>
    <x:tableColumn id="2" name="Source"/>
    <x:tableColumn id="3" name="Locator"/>
    <x:tableColumn id="4" name="Field"/>
    <x:tableColumn id="5" name="Value"/>
    <x:tableColumn id="6" name="Quote"/>
    <x:tableColumn id="7" name="Confidence"/>
    <x:tableColumn id="8" name="Review Status"/>
    <x:tableColumn id="9" name="Reviewer Decision"/>
    <x:tableColumn id="10" name="Reviewer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AuditEventsTable" displayName="AuditEventsTable" ref="A4:G10" headerRowCount="1" totalsRowCount="0" totalsRowShown="0">
  <x:tableColumns count="7">
    <x:tableColumn id="1" name="Timestamp"/>
    <x:tableColumn id="2" name="Event"/>
    <x:tableColumn id="3" name="Command"/>
    <x:tableColumn id="4" name="Source ID"/>
    <x:tableColumn id="5" name="Input Hash"/>
    <x:tableColumn id="6" name="Record Count"/>
    <x:tableColumn id="7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72516349ca49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a823bdca8142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667cc8afce47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34" customHeight="1">
      <x:c r="A1" s="3" t="str">
        <x:v>Evidence Register</x:v>
      </x:c>
    </x:row>
    <x:row r="2" ht="30" customHeight="1">
      <x:c r="A2" s="6" t="str">
        <x:v>Draft output for human review — not a compliance determination.</x:v>
      </x:c>
    </x:row>
    <x:row r="4" ht="28" customHeight="1">
      <x:c r="A4" s="15" t="str">
        <x:v>Metric</x:v>
      </x:c>
      <x:c r="B4" s="17" t="str">
        <x:v>Value</x:v>
      </x:c>
    </x:row>
    <x:row r="5">
      <x:c r="A5" s="31" t="str">
        <x:v>Evidence items</x:v>
      </x:c>
      <x:c r="B5" s="32" t="n">
        <x:f>COUNTA('Evidence'!$A$5:$A$30)</x:f>
        <x:v>26</x:v>
      </x:c>
    </x:row>
    <x:row r="6">
      <x:c r="A6" s="33" t="str">
        <x:v>Pending review</x:v>
      </x:c>
      <x:c r="B6" s="34" t="n">
        <x:f>COUNTIF('Evidence'!$H$5:$H$30,"pending")</x:f>
        <x:v>26</x:v>
      </x:c>
    </x:row>
    <x:row r="7">
      <x:c r="A7" s="33" t="str">
        <x:v>Approved</x:v>
      </x:c>
      <x:c r="B7" s="34" t="n">
        <x:f>COUNTIF('Evidence'!$H$5:$H$30,"approved")</x:f>
        <x:v>0</x:v>
      </x:c>
    </x:row>
    <x:row r="8">
      <x:c r="A8" s="33" t="str">
        <x:v>Rejected</x:v>
      </x:c>
      <x:c r="B8" s="34" t="n">
        <x:f>COUNTIF('Evidence'!$H$5:$H$30,"rejected")</x:f>
        <x:v>0</x:v>
      </x:c>
    </x:row>
    <x:row r="9">
      <x:c r="A9" s="35" t="str">
        <x:v>Average confidence</x:v>
      </x:c>
      <x:c r="B9" s="36" t="n">
        <x:f>IFERROR(AVERAGE('Evidence'!$G$5:$G$30),0)</x:f>
        <x:v>0.9403846153846154</x:v>
      </x:c>
    </x:row>
    <x:row r="11" ht="36" customHeight="1">
      <x:c r="A11" s="39" t="str">
        <x:v>How to use: verify the quote and locator, choose a review status, and add a reviewer note before treating any row as approved.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8" hidden="0" customWidth="1"/>
    <x:col min="4" max="4" width="22" hidden="0" customWidth="1"/>
    <x:col min="5" max="5" width="30" hidden="0" customWidth="1"/>
    <x:col min="6" max="6" width="58" hidden="0" customWidth="1"/>
    <x:col min="7" max="7" width="14" hidden="0" customWidth="1"/>
    <x:col min="8" max="8" width="18" hidden="0" customWidth="1"/>
  </x:cols>
  <x:sheetData>
    <x:row r="1" ht="34" customHeight="1">
      <x:c r="A1" s="3" t="str">
        <x:v>Evidence Items</x:v>
      </x:c>
    </x:row>
    <x:row r="2" ht="30" customHeight="1">
      <x:c r="A2" s="6" t="str">
        <x:v>Canonical records derived from local sample inputs. Use the review status rather than formatting as the decision field.</x:v>
      </x:c>
    </x:row>
    <x:row r="4" ht="28" customHeight="1">
      <x:c r="A4" s="15" t="str">
        <x:v>Source ID</x:v>
      </x:c>
      <x:c r="B4" s="16" t="str">
        <x:v>Source</x:v>
      </x:c>
      <x:c r="C4" s="16" t="str">
        <x:v>Locator</x:v>
      </x:c>
      <x:c r="D4" s="16" t="str">
        <x:v>Field</x:v>
      </x:c>
      <x:c r="E4" s="16" t="str">
        <x:v>Value</x:v>
      </x:c>
      <x:c r="F4" s="16" t="str">
        <x:v>Quote</x:v>
      </x:c>
      <x:c r="G4" s="16" t="str">
        <x:v>Confidence</x:v>
      </x:c>
      <x:c r="H4" s="17" t="str">
        <x:v>Review Status</x:v>
      </x:c>
    </x:row>
    <x:row r="5">
      <x:c r="A5" s="23" t="str">
        <x:v>controls.csv</x:v>
      </x:c>
      <x:c r="B5" s="23" t="str">
        <x:v>controls.csv</x:v>
      </x:c>
      <x:c r="C5" s="23" t="str">
        <x:v>page 1</x:v>
      </x:c>
      <x:c r="D5" s="23" t="str">
        <x:v>row[1].Control ID</x:v>
      </x:c>
      <x:c r="E5" s="23" t="str">
        <x:v>CTL-001</x:v>
      </x:c>
      <x:c r="F5" s="23" t="str">
        <x:v>Control ID=CTL-001</x:v>
      </x:c>
      <x:c r="G5" s="40" t="n">
        <x:v>1</x:v>
      </x:c>
      <x:c r="H5" s="23" t="str">
        <x:v>pending</x:v>
      </x:c>
    </x:row>
    <x:row r="6">
      <x:c r="A6" s="24" t="str">
        <x:v>controls.csv</x:v>
      </x:c>
      <x:c r="B6" s="24" t="str">
        <x:v>controls.csv</x:v>
      </x:c>
      <x:c r="C6" s="24" t="str">
        <x:v>page 1</x:v>
      </x:c>
      <x:c r="D6" s="24" t="str">
        <x:v>row[1].Control Name</x:v>
      </x:c>
      <x:c r="E6" s="24" t="str">
        <x:v>Temperature excursion</x:v>
      </x:c>
      <x:c r="F6" s="24" t="str">
        <x:v>Control Name=Temperature excursion</x:v>
      </x:c>
      <x:c r="G6" s="41" t="n">
        <x:v>1</x:v>
      </x:c>
      <x:c r="H6" s="24" t="str">
        <x:v>pending</x:v>
      </x:c>
    </x:row>
    <x:row r="7">
      <x:c r="A7" s="24" t="str">
        <x:v>controls.csv</x:v>
      </x:c>
      <x:c r="B7" s="24" t="str">
        <x:v>controls.csv</x:v>
      </x:c>
      <x:c r="C7" s="24" t="str">
        <x:v>page 1</x:v>
      </x:c>
      <x:c r="D7" s="24" t="str">
        <x:v>row[1].Threshold</x:v>
      </x:c>
      <x:c r="E7" s="24" t="str">
        <x:v>4 hours</x:v>
      </x:c>
      <x:c r="F7" s="24" t="str">
        <x:v>Threshold=4 hours</x:v>
      </x:c>
      <x:c r="G7" s="41" t="n">
        <x:v>1</x:v>
      </x:c>
      <x:c r="H7" s="24" t="str">
        <x:v>pending</x:v>
      </x:c>
    </x:row>
    <x:row r="8">
      <x:c r="A8" s="24" t="str">
        <x:v>controls.csv</x:v>
      </x:c>
      <x:c r="B8" s="24" t="str">
        <x:v>controls.csv</x:v>
      </x:c>
      <x:c r="C8" s="24" t="str">
        <x:v>page 1</x:v>
      </x:c>
      <x:c r="D8" s="24" t="str">
        <x:v>row[1].Owner</x:v>
      </x:c>
      <x:c r="E8" s="24" t="str">
        <x:v>Quality Operations</x:v>
      </x:c>
      <x:c r="F8" s="24" t="str">
        <x:v>Owner=Quality Operations</x:v>
      </x:c>
      <x:c r="G8" s="41" t="n">
        <x:v>1</x:v>
      </x:c>
      <x:c r="H8" s="24" t="str">
        <x:v>pending</x:v>
      </x:c>
    </x:row>
    <x:row r="9">
      <x:c r="A9" s="24" t="str">
        <x:v>controls.csv</x:v>
      </x:c>
      <x:c r="B9" s="24" t="str">
        <x:v>controls.csv</x:v>
      </x:c>
      <x:c r="C9" s="24" t="str">
        <x:v>page 1</x:v>
      </x:c>
      <x:c r="D9" s="24" t="str">
        <x:v>row[1].Status</x:v>
      </x:c>
      <x:c r="E9" s="24" t="str">
        <x:v>Active</x:v>
      </x:c>
      <x:c r="F9" s="24" t="str">
        <x:v>Status=Active</x:v>
      </x:c>
      <x:c r="G9" s="41" t="n">
        <x:v>1</x:v>
      </x:c>
      <x:c r="H9" s="24" t="str">
        <x:v>pending</x:v>
      </x:c>
    </x:row>
    <x:row r="10">
      <x:c r="A10" s="24" t="str">
        <x:v>controls.csv</x:v>
      </x:c>
      <x:c r="B10" s="24" t="str">
        <x:v>controls.csv</x:v>
      </x:c>
      <x:c r="C10" s="24" t="str">
        <x:v>page 1</x:v>
      </x:c>
      <x:c r="D10" s="24" t="str">
        <x:v>row[2].Control ID</x:v>
      </x:c>
      <x:c r="E10" s="24" t="str">
        <x:v>CTL-002</x:v>
      </x:c>
      <x:c r="F10" s="24" t="str">
        <x:v>Control ID=CTL-002</x:v>
      </x:c>
      <x:c r="G10" s="41" t="n">
        <x:v>1</x:v>
      </x:c>
      <x:c r="H10" s="24" t="str">
        <x:v>pending</x:v>
      </x:c>
    </x:row>
    <x:row r="11">
      <x:c r="A11" s="24" t="str">
        <x:v>controls.csv</x:v>
      </x:c>
      <x:c r="B11" s="24" t="str">
        <x:v>controls.csv</x:v>
      </x:c>
      <x:c r="C11" s="24" t="str">
        <x:v>page 1</x:v>
      </x:c>
      <x:c r="D11" s="24" t="str">
        <x:v>row[2].Control Name</x:v>
      </x:c>
      <x:c r="E11" s="24" t="str">
        <x:v>Deviation backlog</x:v>
      </x:c>
      <x:c r="F11" s="24" t="str">
        <x:v>Control Name=Deviation backlog</x:v>
      </x:c>
      <x:c r="G11" s="41" t="n">
        <x:v>1</x:v>
      </x:c>
      <x:c r="H11" s="24" t="str">
        <x:v>pending</x:v>
      </x:c>
    </x:row>
    <x:row r="12">
      <x:c r="A12" s="24" t="str">
        <x:v>controls.csv</x:v>
      </x:c>
      <x:c r="B12" s="24" t="str">
        <x:v>controls.csv</x:v>
      </x:c>
      <x:c r="C12" s="24" t="str">
        <x:v>page 1</x:v>
      </x:c>
      <x:c r="D12" s="24" t="str">
        <x:v>row[2].Threshold</x:v>
      </x:c>
      <x:c r="E12" s="24" t="str">
        <x:v>5 cases</x:v>
      </x:c>
      <x:c r="F12" s="24" t="str">
        <x:v>Threshold=5 cases</x:v>
      </x:c>
      <x:c r="G12" s="41" t="n">
        <x:v>1</x:v>
      </x:c>
      <x:c r="H12" s="24" t="str">
        <x:v>pending</x:v>
      </x:c>
    </x:row>
    <x:row r="13">
      <x:c r="A13" s="24" t="str">
        <x:v>controls.csv</x:v>
      </x:c>
      <x:c r="B13" s="24" t="str">
        <x:v>controls.csv</x:v>
      </x:c>
      <x:c r="C13" s="24" t="str">
        <x:v>page 1</x:v>
      </x:c>
      <x:c r="D13" s="24" t="str">
        <x:v>row[2].Owner</x:v>
      </x:c>
      <x:c r="E13" s="24" t="str">
        <x:v>Quality Systems</x:v>
      </x:c>
      <x:c r="F13" s="24" t="str">
        <x:v>Owner=Quality Systems</x:v>
      </x:c>
      <x:c r="G13" s="41" t="n">
        <x:v>1</x:v>
      </x:c>
      <x:c r="H13" s="24" t="str">
        <x:v>pending</x:v>
      </x:c>
    </x:row>
    <x:row r="14">
      <x:c r="A14" s="24" t="str">
        <x:v>controls.csv</x:v>
      </x:c>
      <x:c r="B14" s="24" t="str">
        <x:v>controls.csv</x:v>
      </x:c>
      <x:c r="C14" s="24" t="str">
        <x:v>page 1</x:v>
      </x:c>
      <x:c r="D14" s="24" t="str">
        <x:v>row[2].Status</x:v>
      </x:c>
      <x:c r="E14" s="24" t="str">
        <x:v>Active</x:v>
      </x:c>
      <x:c r="F14" s="24" t="str">
        <x:v>Status=Active</x:v>
      </x:c>
      <x:c r="G14" s="41" t="n">
        <x:v>1</x:v>
      </x:c>
      <x:c r="H14" s="24" t="str">
        <x:v>pending</x:v>
      </x:c>
    </x:row>
    <x:row r="15">
      <x:c r="A15" s="24" t="str">
        <x:v>escalation.txt</x:v>
      </x:c>
      <x:c r="B15" s="24" t="str">
        <x:v>escalation.txt</x:v>
      </x:c>
      <x:c r="C15" s="24" t="str">
        <x:v>page 1</x:v>
      </x:c>
      <x:c r="D15" s="24" t="str">
        <x:v>Incident Escalation Hours</x:v>
      </x:c>
      <x:c r="E15" s="24" t="str">
        <x:v>12</x:v>
      </x:c>
      <x:c r="F15" s="24" t="str">
        <x:v>Incident Escalation Hours: 12</x:v>
      </x:c>
      <x:c r="G15" s="41" t="n">
        <x:v>0.9</x:v>
      </x:c>
      <x:c r="H15" s="24" t="str">
        <x:v>pending</x:v>
      </x:c>
    </x:row>
    <x:row r="16">
      <x:c r="A16" s="24" t="str">
        <x:v>escalation.txt</x:v>
      </x:c>
      <x:c r="B16" s="24" t="str">
        <x:v>escalation.txt</x:v>
      </x:c>
      <x:c r="C16" s="24" t="str">
        <x:v>page 1</x:v>
      </x:c>
      <x:c r="D16" s="24" t="str">
        <x:v>Log Retention Days</x:v>
      </x:c>
      <x:c r="E16" s="24" t="str">
        <x:v>180</x:v>
      </x:c>
      <x:c r="F16" s="24" t="str">
        <x:v>Log Retention Days: 180</x:v>
      </x:c>
      <x:c r="G16" s="41" t="n">
        <x:v>0.9</x:v>
      </x:c>
      <x:c r="H16" s="24" t="str">
        <x:v>pending</x:v>
      </x:c>
    </x:row>
    <x:row r="17">
      <x:c r="A17" s="24" t="str">
        <x:v>escalation.txt</x:v>
      </x:c>
      <x:c r="B17" s="24" t="str">
        <x:v>escalation.txt</x:v>
      </x:c>
      <x:c r="C17" s="24" t="str">
        <x:v>page 1</x:v>
      </x:c>
      <x:c r="D17" s="24" t="str">
        <x:v>Final Approval Role</x:v>
      </x:c>
      <x:c r="E17" s="24" t="str">
        <x:v>Quality Director</x:v>
      </x:c>
      <x:c r="F17" s="24" t="str">
        <x:v>Final Approval Role: Quality Director</x:v>
      </x:c>
      <x:c r="G17" s="41" t="n">
        <x:v>0.9</x:v>
      </x:c>
      <x:c r="H17" s="24" t="str">
        <x:v>pending</x:v>
      </x:c>
    </x:row>
    <x:row r="18">
      <x:c r="A18" s="24" t="str">
        <x:v>policy.md</x:v>
      </x:c>
      <x:c r="B18" s="24" t="str">
        <x:v>policy.md</x:v>
      </x:c>
      <x:c r="C18" s="24" t="str">
        <x:v>page 1</x:v>
      </x:c>
      <x:c r="D18" s="24" t="str">
        <x:v>heading[1]</x:v>
      </x:c>
      <x:c r="E18" s="24" t="str">
        <x:v>Synthetic Quality Control Policy</x:v>
      </x:c>
      <x:c r="F18" s="24" t="str">
        <x:v># Synthetic Quality Control Policy</x:v>
      </x:c>
      <x:c r="G18" s="41" t="n">
        <x:v>0.75</x:v>
      </x:c>
      <x:c r="H18" s="24" t="str">
        <x:v>pending</x:v>
      </x:c>
    </x:row>
    <x:row r="19">
      <x:c r="A19" s="24" t="str">
        <x:v>policy.md</x:v>
      </x:c>
      <x:c r="B19" s="24" t="str">
        <x:v>policy.md</x:v>
      </x:c>
      <x:c r="C19" s="24" t="str">
        <x:v>page 1</x:v>
      </x:c>
      <x:c r="D19" s="24" t="str">
        <x:v>Policy ID</x:v>
      </x:c>
      <x:c r="E19" s="24" t="str">
        <x:v>SYN-QMS-001</x:v>
      </x:c>
      <x:c r="F19" s="24" t="str">
        <x:v>Policy ID: SYN-QMS-001</x:v>
      </x:c>
      <x:c r="G19" s="41" t="n">
        <x:v>0.9</x:v>
      </x:c>
      <x:c r="H19" s="24" t="str">
        <x:v>pending</x:v>
      </x:c>
    </x:row>
    <x:row r="20">
      <x:c r="A20" s="24" t="str">
        <x:v>policy.md</x:v>
      </x:c>
      <x:c r="B20" s="24" t="str">
        <x:v>policy.md</x:v>
      </x:c>
      <x:c r="C20" s="24" t="str">
        <x:v>page 1</x:v>
      </x:c>
      <x:c r="D20" s="24" t="str">
        <x:v>Effective Date</x:v>
      </x:c>
      <x:c r="E20" s="24" t="str">
        <x:v>2026-07-01</x:v>
      </x:c>
      <x:c r="F20" s="24" t="str">
        <x:v>Effective Date: 2026-07-01</x:v>
      </x:c>
      <x:c r="G20" s="41" t="n">
        <x:v>0.9</x:v>
      </x:c>
      <x:c r="H20" s="24" t="str">
        <x:v>pending</x:v>
      </x:c>
    </x:row>
    <x:row r="21">
      <x:c r="A21" s="24" t="str">
        <x:v>policy.md</x:v>
      </x:c>
      <x:c r="B21" s="24" t="str">
        <x:v>policy.md</x:v>
      </x:c>
      <x:c r="C21" s="24" t="str">
        <x:v>page 1</x:v>
      </x:c>
      <x:c r="D21" s="24" t="str">
        <x:v>Document Status</x:v>
      </x:c>
      <x:c r="E21" s="24" t="str">
        <x:v>Approved</x:v>
      </x:c>
      <x:c r="F21" s="24" t="str">
        <x:v>Document Status: Approved</x:v>
      </x:c>
      <x:c r="G21" s="41" t="n">
        <x:v>0.9</x:v>
      </x:c>
      <x:c r="H21" s="24" t="str">
        <x:v>pending</x:v>
      </x:c>
    </x:row>
    <x:row r="22">
      <x:c r="A22" s="24" t="str">
        <x:v>policy.md</x:v>
      </x:c>
      <x:c r="B22" s="24" t="str">
        <x:v>policy.md</x:v>
      </x:c>
      <x:c r="C22" s="24" t="str">
        <x:v>page 1</x:v>
      </x:c>
      <x:c r="D22" s="24" t="str">
        <x:v>Retention Years</x:v>
      </x:c>
      <x:c r="E22" s="24" t="str">
        <x:v>7</x:v>
      </x:c>
      <x:c r="F22" s="24" t="str">
        <x:v>Retention Years: 7</x:v>
      </x:c>
      <x:c r="G22" s="41" t="n">
        <x:v>0.9</x:v>
      </x:c>
      <x:c r="H22" s="24" t="str">
        <x:v>pending</x:v>
      </x:c>
    </x:row>
    <x:row r="23">
      <x:c r="A23" s="24" t="str">
        <x:v>policy.md</x:v>
      </x:c>
      <x:c r="B23" s="24" t="str">
        <x:v>policy.md</x:v>
      </x:c>
      <x:c r="C23" s="24" t="str">
        <x:v>page 1</x:v>
      </x:c>
      <x:c r="D23" s="24" t="str">
        <x:v>Exception Approval</x:v>
      </x:c>
      <x:c r="E23" s="24" t="str">
        <x:v>Quality Director</x:v>
      </x:c>
      <x:c r="F23" s="24" t="str">
        <x:v>Exception Approval: Quality Director</x:v>
      </x:c>
      <x:c r="G23" s="41" t="n">
        <x:v>0.9</x:v>
      </x:c>
      <x:c r="H23" s="24" t="str">
        <x:v>pending</x:v>
      </x:c>
    </x:row>
    <x:row r="24">
      <x:c r="A24" s="24" t="str">
        <x:v>policy.md</x:v>
      </x:c>
      <x:c r="B24" s="24" t="str">
        <x:v>policy.md</x:v>
      </x:c>
      <x:c r="C24" s="24" t="str">
        <x:v>page 1</x:v>
      </x:c>
      <x:c r="D24" s="24" t="str">
        <x:v>Review Cycle Months</x:v>
      </x:c>
      <x:c r="E24" s="24" t="str">
        <x:v>6</x:v>
      </x:c>
      <x:c r="F24" s="24" t="str">
        <x:v>Review Cycle Months: 6</x:v>
      </x:c>
      <x:c r="G24" s="41" t="n">
        <x:v>0.9</x:v>
      </x:c>
      <x:c r="H24" s="24" t="str">
        <x:v>pending</x:v>
      </x:c>
    </x:row>
    <x:row r="25">
      <x:c r="A25" s="24" t="str">
        <x:v>policy.md</x:v>
      </x:c>
      <x:c r="B25" s="24" t="str">
        <x:v>policy.md</x:v>
      </x:c>
      <x:c r="C25" s="24" t="str">
        <x:v>page 1</x:v>
      </x:c>
      <x:c r="D25" s="24" t="str">
        <x:v>text.line[10]</x:v>
      </x:c>
      <x:c r="E25" s="24" t="str">
        <x:v>This synthetic document is for demonstration only and describes no real organization.</x:v>
      </x:c>
      <x:c r="F25" s="24" t="str">
        <x:v>This synthetic document is for demonstration only and describes no real organization.</x:v>
      </x:c>
      <x:c r="G25" s="41" t="n">
        <x:v>0.6</x:v>
      </x:c>
      <x:c r="H25" s="24" t="str">
        <x:v>pending</x:v>
      </x:c>
    </x:row>
    <x:row r="26">
      <x:c r="A26" s="24" t="str">
        <x:v>registry.json</x:v>
      </x:c>
      <x:c r="B26" s="24" t="str">
        <x:v>registry.json</x:v>
      </x:c>
      <x:c r="C26" s="24" t="str">
        <x:v>page 1</x:v>
      </x:c>
      <x:c r="D26" s="24" t="str">
        <x:v>product_family</x:v>
      </x:c>
      <x:c r="E26" s="24" t="str">
        <x:v>Synthetic Device</x:v>
      </x:c>
      <x:c r="F26" s="24" t="str">
        <x:v>product_family=Synthetic Device</x:v>
      </x:c>
      <x:c r="G26" s="41" t="n">
        <x:v>1</x:v>
      </x:c>
      <x:c r="H26" s="24" t="str">
        <x:v>pending</x:v>
      </x:c>
    </x:row>
    <x:row r="27">
      <x:c r="A27" s="24" t="str">
        <x:v>registry.json</x:v>
      </x:c>
      <x:c r="B27" s="24" t="str">
        <x:v>registry.json</x:v>
      </x:c>
      <x:c r="C27" s="24" t="str">
        <x:v>page 1</x:v>
      </x:c>
      <x:c r="D27" s="24" t="str">
        <x:v>registry_version</x:v>
      </x:c>
      <x:c r="E27" s="24" t="str">
        <x:v>1.1</x:v>
      </x:c>
      <x:c r="F27" s="24" t="str">
        <x:v>registry_version=1.1</x:v>
      </x:c>
      <x:c r="G27" s="41" t="n">
        <x:v>1</x:v>
      </x:c>
      <x:c r="H27" s="24" t="str">
        <x:v>pending</x:v>
      </x:c>
    </x:row>
    <x:row r="28">
      <x:c r="A28" s="24" t="str">
        <x:v>registry.json</x:v>
      </x:c>
      <x:c r="B28" s="24" t="str">
        <x:v>registry.json</x:v>
      </x:c>
      <x:c r="C28" s="24" t="str">
        <x:v>page 1</x:v>
      </x:c>
      <x:c r="D28" s="24" t="str">
        <x:v>release.max_open_deviations</x:v>
      </x:c>
      <x:c r="E28" s="24" t="str">
        <x:v>3</x:v>
      </x:c>
      <x:c r="F28" s="24" t="str">
        <x:v>release.max_open_deviations=3</x:v>
      </x:c>
      <x:c r="G28" s="41" t="n">
        <x:v>1</x:v>
      </x:c>
      <x:c r="H28" s="24" t="str">
        <x:v>pending</x:v>
      </x:c>
    </x:row>
    <x:row r="29">
      <x:c r="A29" s="24" t="str">
        <x:v>registry.json</x:v>
      </x:c>
      <x:c r="B29" s="24" t="str">
        <x:v>registry.json</x:v>
      </x:c>
      <x:c r="C29" s="24" t="str">
        <x:v>page 1</x:v>
      </x:c>
      <x:c r="D29" s="24" t="str">
        <x:v>release.requires_dual_approval</x:v>
      </x:c>
      <x:c r="E29" s="24" t="str">
        <x:v>true</x:v>
      </x:c>
      <x:c r="F29" s="24" t="str">
        <x:v>release.requires_dual_approval=true</x:v>
      </x:c>
      <x:c r="G29" s="41" t="n">
        <x:v>1</x:v>
      </x:c>
      <x:c r="H29" s="24" t="str">
        <x:v>pending</x:v>
      </x:c>
    </x:row>
    <x:row r="30">
      <x:c r="A30" s="24" t="str">
        <x:v>registry.json</x:v>
      </x:c>
      <x:c r="B30" s="24" t="str">
        <x:v>registry.json</x:v>
      </x:c>
      <x:c r="C30" s="24" t="str">
        <x:v>page 1</x:v>
      </x:c>
      <x:c r="D30" s="24" t="str">
        <x:v>status</x:v>
      </x:c>
      <x:c r="E30" s="24" t="str">
        <x:v>controlled-release</x:v>
      </x:c>
      <x:c r="F30" s="24" t="str">
        <x:v>status=controlled-release</x:v>
      </x:c>
      <x:c r="G30" s="41" t="n">
        <x:v>1</x:v>
      </x:c>
      <x:c r="H30" s="24" t="str">
        <x:v>pending</x:v>
      </x:c>
    </x:row>
  </x:sheetData>
  <x:mergeCells>
    <x:mergeCell ref="A1:H1"/>
    <x:mergeCell ref="A2:H2"/>
  </x:mergeCells>
  <x:conditionalFormatting sqref="H5:H30">
    <x:cfRule type="containsText" dxfId="0" priority="1" operator="containsText" text="pending"/>
    <x:cfRule type="containsText" dxfId="1" priority="2" operator="containsText" text="approved"/>
    <x:cfRule type="containsText" dxfId="2" priority="3" operator="containsText" text="rejected"/>
  </x:conditionalFormatting>
  <x:dataValidations count="1">
    <x:dataValidation type="list" sqref="H5:H30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72516349ca49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6" hidden="0" customWidth="1"/>
    <x:col min="4" max="4" width="20" hidden="0" customWidth="1"/>
    <x:col min="5" max="5" width="26" hidden="0" customWidth="1"/>
    <x:col min="6" max="6" width="48" hidden="0" customWidth="1"/>
    <x:col min="7" max="7" width="12" hidden="0" customWidth="1"/>
    <x:col min="8" max="8" width="16" hidden="0" customWidth="1"/>
    <x:col min="9" max="9" width="18" hidden="0" customWidth="1"/>
    <x:col min="10" max="10" width="42" hidden="0" customWidth="1"/>
  </x:cols>
  <x:sheetData>
    <x:row r="1" ht="34" customHeight="1">
      <x:c r="A1" s="3" t="str">
        <x:v>Human Review Queue</x:v>
      </x:c>
    </x:row>
    <x:row r="2" ht="30" customHeight="1">
      <x:c r="A2" s="6" t="str">
        <x:v>Editable decisions are intentionally separate from extracted evidence. Every item begins as pending.</x:v>
      </x:c>
    </x:row>
    <x:row r="4" ht="28" customHeight="1">
      <x:c r="A4" s="15" t="str">
        <x:v>Source ID</x:v>
      </x:c>
      <x:c r="B4" s="16" t="str">
        <x:v>Source</x:v>
      </x:c>
      <x:c r="C4" s="16" t="str">
        <x:v>Locator</x:v>
      </x:c>
      <x:c r="D4" s="16" t="str">
        <x:v>Field</x:v>
      </x:c>
      <x:c r="E4" s="16" t="str">
        <x:v>Value</x:v>
      </x:c>
      <x:c r="F4" s="16" t="str">
        <x:v>Quote</x:v>
      </x:c>
      <x:c r="G4" s="16" t="str">
        <x:v>Confidence</x:v>
      </x:c>
      <x:c r="H4" s="16" t="str">
        <x:v>Review Status</x:v>
      </x:c>
      <x:c r="I4" s="16" t="str">
        <x:v>Reviewer Decision</x:v>
      </x:c>
      <x:c r="J4" s="17" t="str">
        <x:v>Reviewer Note</x:v>
      </x:c>
    </x:row>
    <x:row r="5">
      <x:c r="A5" s="23" t="str">
        <x:v>controls.csv</x:v>
      </x:c>
      <x:c r="B5" s="23" t="str">
        <x:v>controls.csv</x:v>
      </x:c>
      <x:c r="C5" s="23" t="str">
        <x:v>page 1</x:v>
      </x:c>
      <x:c r="D5" s="23" t="str">
        <x:v>row[1].Control ID</x:v>
      </x:c>
      <x:c r="E5" s="23" t="str">
        <x:v>CTL-001</x:v>
      </x:c>
      <x:c r="F5" s="23" t="str">
        <x:v>Control ID=CTL-001</x:v>
      </x:c>
      <x:c r="G5" s="40" t="n">
        <x:v>1</x:v>
      </x:c>
      <x:c r="H5" s="23" t="str">
        <x:v>pending</x:v>
      </x:c>
      <x:c r="I5" s="23" t="str">
        <x:v>pending</x:v>
      </x:c>
      <x:c r="J5" s="23" t="str"/>
    </x:row>
    <x:row r="6">
      <x:c r="A6" s="24" t="str">
        <x:v>controls.csv</x:v>
      </x:c>
      <x:c r="B6" s="24" t="str">
        <x:v>controls.csv</x:v>
      </x:c>
      <x:c r="C6" s="24" t="str">
        <x:v>page 1</x:v>
      </x:c>
      <x:c r="D6" s="24" t="str">
        <x:v>row[1].Control Name</x:v>
      </x:c>
      <x:c r="E6" s="24" t="str">
        <x:v>Temperature excursion</x:v>
      </x:c>
      <x:c r="F6" s="24" t="str">
        <x:v>Control Name=Temperature excursion</x:v>
      </x:c>
      <x:c r="G6" s="41" t="n">
        <x:v>1</x:v>
      </x:c>
      <x:c r="H6" s="24" t="str">
        <x:v>pending</x:v>
      </x:c>
      <x:c r="I6" s="24" t="str">
        <x:v>pending</x:v>
      </x:c>
      <x:c r="J6" s="24" t="str"/>
    </x:row>
    <x:row r="7">
      <x:c r="A7" s="24" t="str">
        <x:v>controls.csv</x:v>
      </x:c>
      <x:c r="B7" s="24" t="str">
        <x:v>controls.csv</x:v>
      </x:c>
      <x:c r="C7" s="24" t="str">
        <x:v>page 1</x:v>
      </x:c>
      <x:c r="D7" s="24" t="str">
        <x:v>row[1].Threshold</x:v>
      </x:c>
      <x:c r="E7" s="24" t="str">
        <x:v>4 hours</x:v>
      </x:c>
      <x:c r="F7" s="24" t="str">
        <x:v>Threshold=4 hours</x:v>
      </x:c>
      <x:c r="G7" s="41" t="n">
        <x:v>1</x:v>
      </x:c>
      <x:c r="H7" s="24" t="str">
        <x:v>pending</x:v>
      </x:c>
      <x:c r="I7" s="24" t="str">
        <x:v>pending</x:v>
      </x:c>
      <x:c r="J7" s="24" t="str"/>
    </x:row>
    <x:row r="8">
      <x:c r="A8" s="24" t="str">
        <x:v>controls.csv</x:v>
      </x:c>
      <x:c r="B8" s="24" t="str">
        <x:v>controls.csv</x:v>
      </x:c>
      <x:c r="C8" s="24" t="str">
        <x:v>page 1</x:v>
      </x:c>
      <x:c r="D8" s="24" t="str">
        <x:v>row[1].Owner</x:v>
      </x:c>
      <x:c r="E8" s="24" t="str">
        <x:v>Quality Operations</x:v>
      </x:c>
      <x:c r="F8" s="24" t="str">
        <x:v>Owner=Quality Operations</x:v>
      </x:c>
      <x:c r="G8" s="41" t="n">
        <x:v>1</x:v>
      </x:c>
      <x:c r="H8" s="24" t="str">
        <x:v>pending</x:v>
      </x:c>
      <x:c r="I8" s="24" t="str">
        <x:v>pending</x:v>
      </x:c>
      <x:c r="J8" s="24" t="str"/>
    </x:row>
    <x:row r="9">
      <x:c r="A9" s="24" t="str">
        <x:v>controls.csv</x:v>
      </x:c>
      <x:c r="B9" s="24" t="str">
        <x:v>controls.csv</x:v>
      </x:c>
      <x:c r="C9" s="24" t="str">
        <x:v>page 1</x:v>
      </x:c>
      <x:c r="D9" s="24" t="str">
        <x:v>row[1].Status</x:v>
      </x:c>
      <x:c r="E9" s="24" t="str">
        <x:v>Active</x:v>
      </x:c>
      <x:c r="F9" s="24" t="str">
        <x:v>Status=Active</x:v>
      </x:c>
      <x:c r="G9" s="41" t="n">
        <x:v>1</x:v>
      </x:c>
      <x:c r="H9" s="24" t="str">
        <x:v>pending</x:v>
      </x:c>
      <x:c r="I9" s="24" t="str">
        <x:v>pending</x:v>
      </x:c>
      <x:c r="J9" s="24" t="str"/>
    </x:row>
    <x:row r="10">
      <x:c r="A10" s="24" t="str">
        <x:v>controls.csv</x:v>
      </x:c>
      <x:c r="B10" s="24" t="str">
        <x:v>controls.csv</x:v>
      </x:c>
      <x:c r="C10" s="24" t="str">
        <x:v>page 1</x:v>
      </x:c>
      <x:c r="D10" s="24" t="str">
        <x:v>row[2].Control ID</x:v>
      </x:c>
      <x:c r="E10" s="24" t="str">
        <x:v>CTL-002</x:v>
      </x:c>
      <x:c r="F10" s="24" t="str">
        <x:v>Control ID=CTL-002</x:v>
      </x:c>
      <x:c r="G10" s="41" t="n">
        <x:v>1</x:v>
      </x:c>
      <x:c r="H10" s="24" t="str">
        <x:v>pending</x:v>
      </x:c>
      <x:c r="I10" s="24" t="str">
        <x:v>pending</x:v>
      </x:c>
      <x:c r="J10" s="24" t="str"/>
    </x:row>
    <x:row r="11">
      <x:c r="A11" s="24" t="str">
        <x:v>controls.csv</x:v>
      </x:c>
      <x:c r="B11" s="24" t="str">
        <x:v>controls.csv</x:v>
      </x:c>
      <x:c r="C11" s="24" t="str">
        <x:v>page 1</x:v>
      </x:c>
      <x:c r="D11" s="24" t="str">
        <x:v>row[2].Control Name</x:v>
      </x:c>
      <x:c r="E11" s="24" t="str">
        <x:v>Deviation backlog</x:v>
      </x:c>
      <x:c r="F11" s="24" t="str">
        <x:v>Control Name=Deviation backlog</x:v>
      </x:c>
      <x:c r="G11" s="41" t="n">
        <x:v>1</x:v>
      </x:c>
      <x:c r="H11" s="24" t="str">
        <x:v>pending</x:v>
      </x:c>
      <x:c r="I11" s="24" t="str">
        <x:v>pending</x:v>
      </x:c>
      <x:c r="J11" s="24" t="str"/>
    </x:row>
    <x:row r="12">
      <x:c r="A12" s="24" t="str">
        <x:v>controls.csv</x:v>
      </x:c>
      <x:c r="B12" s="24" t="str">
        <x:v>controls.csv</x:v>
      </x:c>
      <x:c r="C12" s="24" t="str">
        <x:v>page 1</x:v>
      </x:c>
      <x:c r="D12" s="24" t="str">
        <x:v>row[2].Threshold</x:v>
      </x:c>
      <x:c r="E12" s="24" t="str">
        <x:v>5 cases</x:v>
      </x:c>
      <x:c r="F12" s="24" t="str">
        <x:v>Threshold=5 cases</x:v>
      </x:c>
      <x:c r="G12" s="41" t="n">
        <x:v>1</x:v>
      </x:c>
      <x:c r="H12" s="24" t="str">
        <x:v>pending</x:v>
      </x:c>
      <x:c r="I12" s="24" t="str">
        <x:v>pending</x:v>
      </x:c>
      <x:c r="J12" s="24" t="str"/>
    </x:row>
    <x:row r="13">
      <x:c r="A13" s="24" t="str">
        <x:v>controls.csv</x:v>
      </x:c>
      <x:c r="B13" s="24" t="str">
        <x:v>controls.csv</x:v>
      </x:c>
      <x:c r="C13" s="24" t="str">
        <x:v>page 1</x:v>
      </x:c>
      <x:c r="D13" s="24" t="str">
        <x:v>row[2].Owner</x:v>
      </x:c>
      <x:c r="E13" s="24" t="str">
        <x:v>Quality Systems</x:v>
      </x:c>
      <x:c r="F13" s="24" t="str">
        <x:v>Owner=Quality Systems</x:v>
      </x:c>
      <x:c r="G13" s="41" t="n">
        <x:v>1</x:v>
      </x:c>
      <x:c r="H13" s="24" t="str">
        <x:v>pending</x:v>
      </x:c>
      <x:c r="I13" s="24" t="str">
        <x:v>pending</x:v>
      </x:c>
      <x:c r="J13" s="24" t="str"/>
    </x:row>
    <x:row r="14">
      <x:c r="A14" s="24" t="str">
        <x:v>controls.csv</x:v>
      </x:c>
      <x:c r="B14" s="24" t="str">
        <x:v>controls.csv</x:v>
      </x:c>
      <x:c r="C14" s="24" t="str">
        <x:v>page 1</x:v>
      </x:c>
      <x:c r="D14" s="24" t="str">
        <x:v>row[2].Status</x:v>
      </x:c>
      <x:c r="E14" s="24" t="str">
        <x:v>Active</x:v>
      </x:c>
      <x:c r="F14" s="24" t="str">
        <x:v>Status=Active</x:v>
      </x:c>
      <x:c r="G14" s="41" t="n">
        <x:v>1</x:v>
      </x:c>
      <x:c r="H14" s="24" t="str">
        <x:v>pending</x:v>
      </x:c>
      <x:c r="I14" s="24" t="str">
        <x:v>pending</x:v>
      </x:c>
      <x:c r="J14" s="24" t="str"/>
    </x:row>
    <x:row r="15">
      <x:c r="A15" s="24" t="str">
        <x:v>escalation.txt</x:v>
      </x:c>
      <x:c r="B15" s="24" t="str">
        <x:v>escalation.txt</x:v>
      </x:c>
      <x:c r="C15" s="24" t="str">
        <x:v>page 1</x:v>
      </x:c>
      <x:c r="D15" s="24" t="str">
        <x:v>Incident Escalation Hours</x:v>
      </x:c>
      <x:c r="E15" s="24" t="str">
        <x:v>12</x:v>
      </x:c>
      <x:c r="F15" s="24" t="str">
        <x:v>Incident Escalation Hours: 12</x:v>
      </x:c>
      <x:c r="G15" s="41" t="n">
        <x:v>0.9</x:v>
      </x:c>
      <x:c r="H15" s="24" t="str">
        <x:v>pending</x:v>
      </x:c>
      <x:c r="I15" s="24" t="str">
        <x:v>pending</x:v>
      </x:c>
      <x:c r="J15" s="24" t="str"/>
    </x:row>
    <x:row r="16">
      <x:c r="A16" s="24" t="str">
        <x:v>escalation.txt</x:v>
      </x:c>
      <x:c r="B16" s="24" t="str">
        <x:v>escalation.txt</x:v>
      </x:c>
      <x:c r="C16" s="24" t="str">
        <x:v>page 1</x:v>
      </x:c>
      <x:c r="D16" s="24" t="str">
        <x:v>Log Retention Days</x:v>
      </x:c>
      <x:c r="E16" s="24" t="str">
        <x:v>180</x:v>
      </x:c>
      <x:c r="F16" s="24" t="str">
        <x:v>Log Retention Days: 180</x:v>
      </x:c>
      <x:c r="G16" s="41" t="n">
        <x:v>0.9</x:v>
      </x:c>
      <x:c r="H16" s="24" t="str">
        <x:v>pending</x:v>
      </x:c>
      <x:c r="I16" s="24" t="str">
        <x:v>pending</x:v>
      </x:c>
      <x:c r="J16" s="24" t="str"/>
    </x:row>
    <x:row r="17">
      <x:c r="A17" s="24" t="str">
        <x:v>escalation.txt</x:v>
      </x:c>
      <x:c r="B17" s="24" t="str">
        <x:v>escalation.txt</x:v>
      </x:c>
      <x:c r="C17" s="24" t="str">
        <x:v>page 1</x:v>
      </x:c>
      <x:c r="D17" s="24" t="str">
        <x:v>Final Approval Role</x:v>
      </x:c>
      <x:c r="E17" s="24" t="str">
        <x:v>Quality Director</x:v>
      </x:c>
      <x:c r="F17" s="24" t="str">
        <x:v>Final Approval Role: Quality Director</x:v>
      </x:c>
      <x:c r="G17" s="41" t="n">
        <x:v>0.9</x:v>
      </x:c>
      <x:c r="H17" s="24" t="str">
        <x:v>pending</x:v>
      </x:c>
      <x:c r="I17" s="24" t="str">
        <x:v>pending</x:v>
      </x:c>
      <x:c r="J17" s="24" t="str"/>
    </x:row>
    <x:row r="18">
      <x:c r="A18" s="24" t="str">
        <x:v>policy.md</x:v>
      </x:c>
      <x:c r="B18" s="24" t="str">
        <x:v>policy.md</x:v>
      </x:c>
      <x:c r="C18" s="24" t="str">
        <x:v>page 1</x:v>
      </x:c>
      <x:c r="D18" s="24" t="str">
        <x:v>heading[1]</x:v>
      </x:c>
      <x:c r="E18" s="24" t="str">
        <x:v>Synthetic Quality Control Policy</x:v>
      </x:c>
      <x:c r="F18" s="24" t="str">
        <x:v># Synthetic Quality Control Policy</x:v>
      </x:c>
      <x:c r="G18" s="41" t="n">
        <x:v>0.75</x:v>
      </x:c>
      <x:c r="H18" s="24" t="str">
        <x:v>pending</x:v>
      </x:c>
      <x:c r="I18" s="24" t="str">
        <x:v>pending</x:v>
      </x:c>
      <x:c r="J18" s="24" t="str"/>
    </x:row>
    <x:row r="19">
      <x:c r="A19" s="24" t="str">
        <x:v>policy.md</x:v>
      </x:c>
      <x:c r="B19" s="24" t="str">
        <x:v>policy.md</x:v>
      </x:c>
      <x:c r="C19" s="24" t="str">
        <x:v>page 1</x:v>
      </x:c>
      <x:c r="D19" s="24" t="str">
        <x:v>Policy ID</x:v>
      </x:c>
      <x:c r="E19" s="24" t="str">
        <x:v>SYN-QMS-001</x:v>
      </x:c>
      <x:c r="F19" s="24" t="str">
        <x:v>Policy ID: SYN-QMS-001</x:v>
      </x:c>
      <x:c r="G19" s="41" t="n">
        <x:v>0.9</x:v>
      </x:c>
      <x:c r="H19" s="24" t="str">
        <x:v>pending</x:v>
      </x:c>
      <x:c r="I19" s="24" t="str">
        <x:v>pending</x:v>
      </x:c>
      <x:c r="J19" s="24" t="str"/>
    </x:row>
    <x:row r="20">
      <x:c r="A20" s="24" t="str">
        <x:v>policy.md</x:v>
      </x:c>
      <x:c r="B20" s="24" t="str">
        <x:v>policy.md</x:v>
      </x:c>
      <x:c r="C20" s="24" t="str">
        <x:v>page 1</x:v>
      </x:c>
      <x:c r="D20" s="24" t="str">
        <x:v>Effective Date</x:v>
      </x:c>
      <x:c r="E20" s="24" t="str">
        <x:v>2026-07-01</x:v>
      </x:c>
      <x:c r="F20" s="24" t="str">
        <x:v>Effective Date: 2026-07-01</x:v>
      </x:c>
      <x:c r="G20" s="41" t="n">
        <x:v>0.9</x:v>
      </x:c>
      <x:c r="H20" s="24" t="str">
        <x:v>pending</x:v>
      </x:c>
      <x:c r="I20" s="24" t="str">
        <x:v>pending</x:v>
      </x:c>
      <x:c r="J20" s="24" t="str"/>
    </x:row>
    <x:row r="21">
      <x:c r="A21" s="24" t="str">
        <x:v>policy.md</x:v>
      </x:c>
      <x:c r="B21" s="24" t="str">
        <x:v>policy.md</x:v>
      </x:c>
      <x:c r="C21" s="24" t="str">
        <x:v>page 1</x:v>
      </x:c>
      <x:c r="D21" s="24" t="str">
        <x:v>Document Status</x:v>
      </x:c>
      <x:c r="E21" s="24" t="str">
        <x:v>Approved</x:v>
      </x:c>
      <x:c r="F21" s="24" t="str">
        <x:v>Document Status: Approved</x:v>
      </x:c>
      <x:c r="G21" s="41" t="n">
        <x:v>0.9</x:v>
      </x:c>
      <x:c r="H21" s="24" t="str">
        <x:v>pending</x:v>
      </x:c>
      <x:c r="I21" s="24" t="str">
        <x:v>pending</x:v>
      </x:c>
      <x:c r="J21" s="24" t="str"/>
    </x:row>
    <x:row r="22">
      <x:c r="A22" s="24" t="str">
        <x:v>policy.md</x:v>
      </x:c>
      <x:c r="B22" s="24" t="str">
        <x:v>policy.md</x:v>
      </x:c>
      <x:c r="C22" s="24" t="str">
        <x:v>page 1</x:v>
      </x:c>
      <x:c r="D22" s="24" t="str">
        <x:v>Retention Years</x:v>
      </x:c>
      <x:c r="E22" s="24" t="str">
        <x:v>7</x:v>
      </x:c>
      <x:c r="F22" s="24" t="str">
        <x:v>Retention Years: 7</x:v>
      </x:c>
      <x:c r="G22" s="41" t="n">
        <x:v>0.9</x:v>
      </x:c>
      <x:c r="H22" s="24" t="str">
        <x:v>pending</x:v>
      </x:c>
      <x:c r="I22" s="24" t="str">
        <x:v>pending</x:v>
      </x:c>
      <x:c r="J22" s="24" t="str"/>
    </x:row>
    <x:row r="23">
      <x:c r="A23" s="24" t="str">
        <x:v>policy.md</x:v>
      </x:c>
      <x:c r="B23" s="24" t="str">
        <x:v>policy.md</x:v>
      </x:c>
      <x:c r="C23" s="24" t="str">
        <x:v>page 1</x:v>
      </x:c>
      <x:c r="D23" s="24" t="str">
        <x:v>Exception Approval</x:v>
      </x:c>
      <x:c r="E23" s="24" t="str">
        <x:v>Quality Director</x:v>
      </x:c>
      <x:c r="F23" s="24" t="str">
        <x:v>Exception Approval: Quality Director</x:v>
      </x:c>
      <x:c r="G23" s="41" t="n">
        <x:v>0.9</x:v>
      </x:c>
      <x:c r="H23" s="24" t="str">
        <x:v>pending</x:v>
      </x:c>
      <x:c r="I23" s="24" t="str">
        <x:v>pending</x:v>
      </x:c>
      <x:c r="J23" s="24" t="str"/>
    </x:row>
    <x:row r="24">
      <x:c r="A24" s="24" t="str">
        <x:v>policy.md</x:v>
      </x:c>
      <x:c r="B24" s="24" t="str">
        <x:v>policy.md</x:v>
      </x:c>
      <x:c r="C24" s="24" t="str">
        <x:v>page 1</x:v>
      </x:c>
      <x:c r="D24" s="24" t="str">
        <x:v>Review Cycle Months</x:v>
      </x:c>
      <x:c r="E24" s="24" t="str">
        <x:v>6</x:v>
      </x:c>
      <x:c r="F24" s="24" t="str">
        <x:v>Review Cycle Months: 6</x:v>
      </x:c>
      <x:c r="G24" s="41" t="n">
        <x:v>0.9</x:v>
      </x:c>
      <x:c r="H24" s="24" t="str">
        <x:v>pending</x:v>
      </x:c>
      <x:c r="I24" s="24" t="str">
        <x:v>pending</x:v>
      </x:c>
      <x:c r="J24" s="24" t="str"/>
    </x:row>
    <x:row r="25">
      <x:c r="A25" s="24" t="str">
        <x:v>policy.md</x:v>
      </x:c>
      <x:c r="B25" s="24" t="str">
        <x:v>policy.md</x:v>
      </x:c>
      <x:c r="C25" s="24" t="str">
        <x:v>page 1</x:v>
      </x:c>
      <x:c r="D25" s="24" t="str">
        <x:v>text.line[10]</x:v>
      </x:c>
      <x:c r="E25" s="24" t="str">
        <x:v>This synthetic document is for demonstration only and describes no real organization.</x:v>
      </x:c>
      <x:c r="F25" s="24" t="str">
        <x:v>This synthetic document is for demonstration only and describes no real organization.</x:v>
      </x:c>
      <x:c r="G25" s="41" t="n">
        <x:v>0.6</x:v>
      </x:c>
      <x:c r="H25" s="24" t="str">
        <x:v>pending</x:v>
      </x:c>
      <x:c r="I25" s="24" t="str">
        <x:v>pending</x:v>
      </x:c>
      <x:c r="J25" s="24" t="str"/>
    </x:row>
    <x:row r="26">
      <x:c r="A26" s="24" t="str">
        <x:v>registry.json</x:v>
      </x:c>
      <x:c r="B26" s="24" t="str">
        <x:v>registry.json</x:v>
      </x:c>
      <x:c r="C26" s="24" t="str">
        <x:v>page 1</x:v>
      </x:c>
      <x:c r="D26" s="24" t="str">
        <x:v>product_family</x:v>
      </x:c>
      <x:c r="E26" s="24" t="str">
        <x:v>Synthetic Device</x:v>
      </x:c>
      <x:c r="F26" s="24" t="str">
        <x:v>product_family=Synthetic Device</x:v>
      </x:c>
      <x:c r="G26" s="41" t="n">
        <x:v>1</x:v>
      </x:c>
      <x:c r="H26" s="24" t="str">
        <x:v>pending</x:v>
      </x:c>
      <x:c r="I26" s="24" t="str">
        <x:v>pending</x:v>
      </x:c>
      <x:c r="J26" s="24" t="str"/>
    </x:row>
    <x:row r="27">
      <x:c r="A27" s="24" t="str">
        <x:v>registry.json</x:v>
      </x:c>
      <x:c r="B27" s="24" t="str">
        <x:v>registry.json</x:v>
      </x:c>
      <x:c r="C27" s="24" t="str">
        <x:v>page 1</x:v>
      </x:c>
      <x:c r="D27" s="24" t="str">
        <x:v>registry_version</x:v>
      </x:c>
      <x:c r="E27" s="24" t="str">
        <x:v>1.1</x:v>
      </x:c>
      <x:c r="F27" s="24" t="str">
        <x:v>registry_version=1.1</x:v>
      </x:c>
      <x:c r="G27" s="41" t="n">
        <x:v>1</x:v>
      </x:c>
      <x:c r="H27" s="24" t="str">
        <x:v>pending</x:v>
      </x:c>
      <x:c r="I27" s="24" t="str">
        <x:v>pending</x:v>
      </x:c>
      <x:c r="J27" s="24" t="str"/>
    </x:row>
    <x:row r="28">
      <x:c r="A28" s="24" t="str">
        <x:v>registry.json</x:v>
      </x:c>
      <x:c r="B28" s="24" t="str">
        <x:v>registry.json</x:v>
      </x:c>
      <x:c r="C28" s="24" t="str">
        <x:v>page 1</x:v>
      </x:c>
      <x:c r="D28" s="24" t="str">
        <x:v>release.max_open_deviations</x:v>
      </x:c>
      <x:c r="E28" s="24" t="str">
        <x:v>3</x:v>
      </x:c>
      <x:c r="F28" s="24" t="str">
        <x:v>release.max_open_deviations=3</x:v>
      </x:c>
      <x:c r="G28" s="41" t="n">
        <x:v>1</x:v>
      </x:c>
      <x:c r="H28" s="24" t="str">
        <x:v>pending</x:v>
      </x:c>
      <x:c r="I28" s="24" t="str">
        <x:v>pending</x:v>
      </x:c>
      <x:c r="J28" s="24" t="str"/>
    </x:row>
    <x:row r="29">
      <x:c r="A29" s="24" t="str">
        <x:v>registry.json</x:v>
      </x:c>
      <x:c r="B29" s="24" t="str">
        <x:v>registry.json</x:v>
      </x:c>
      <x:c r="C29" s="24" t="str">
        <x:v>page 1</x:v>
      </x:c>
      <x:c r="D29" s="24" t="str">
        <x:v>release.requires_dual_approval</x:v>
      </x:c>
      <x:c r="E29" s="24" t="str">
        <x:v>true</x:v>
      </x:c>
      <x:c r="F29" s="24" t="str">
        <x:v>release.requires_dual_approval=true</x:v>
      </x:c>
      <x:c r="G29" s="41" t="n">
        <x:v>1</x:v>
      </x:c>
      <x:c r="H29" s="24" t="str">
        <x:v>pending</x:v>
      </x:c>
      <x:c r="I29" s="24" t="str">
        <x:v>pending</x:v>
      </x:c>
      <x:c r="J29" s="24" t="str"/>
    </x:row>
    <x:row r="30">
      <x:c r="A30" s="24" t="str">
        <x:v>registry.json</x:v>
      </x:c>
      <x:c r="B30" s="24" t="str">
        <x:v>registry.json</x:v>
      </x:c>
      <x:c r="C30" s="24" t="str">
        <x:v>page 1</x:v>
      </x:c>
      <x:c r="D30" s="24" t="str">
        <x:v>status</x:v>
      </x:c>
      <x:c r="E30" s="24" t="str">
        <x:v>controlled-release</x:v>
      </x:c>
      <x:c r="F30" s="24" t="str">
        <x:v>status=controlled-release</x:v>
      </x:c>
      <x:c r="G30" s="41" t="n">
        <x:v>1</x:v>
      </x:c>
      <x:c r="H30" s="24" t="str">
        <x:v>pending</x:v>
      </x:c>
      <x:c r="I30" s="24" t="str">
        <x:v>pending</x:v>
      </x:c>
      <x:c r="J30" s="24" t="str"/>
    </x:row>
  </x:sheetData>
  <x:mergeCells>
    <x:mergeCell ref="A1:J1"/>
    <x:mergeCell ref="A2:J2"/>
  </x:mergeCells>
  <x:dataValidations count="1">
    <x:dataValidation type="list" sqref="I5:I30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a823bdca8142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18" hidden="0" customWidth="1"/>
    <x:col min="4" max="4" width="20" hidden="0" customWidth="1"/>
    <x:col min="5" max="5" width="34" hidden="0" customWidth="1"/>
    <x:col min="6" max="6" width="14" hidden="0" customWidth="1"/>
    <x:col min="7" max="7" width="60" hidden="0" customWidth="1"/>
  </x:cols>
  <x:sheetData>
    <x:row r="1" ht="34" customHeight="1">
      <x:c r="A1" s="3" t="str">
        <x:v>Audit Trail</x:v>
      </x:c>
    </x:row>
    <x:row r="2" ht="30" customHeight="1">
      <x:c r="A2" s="6" t="str">
        <x:v>Run metadata only. Credentials and full environment values are intentionally excluded.</x:v>
      </x:c>
    </x:row>
    <x:row r="4" ht="28" customHeight="1">
      <x:c r="A4" s="15" t="str">
        <x:v>Timestamp</x:v>
      </x:c>
      <x:c r="B4" s="16" t="str">
        <x:v>Event</x:v>
      </x:c>
      <x:c r="C4" s="16" t="str">
        <x:v>Command</x:v>
      </x:c>
      <x:c r="D4" s="16" t="str">
        <x:v>Source ID</x:v>
      </x:c>
      <x:c r="E4" s="16" t="str">
        <x:v>Input Hash</x:v>
      </x:c>
      <x:c r="F4" s="16" t="str">
        <x:v>Record Count</x:v>
      </x:c>
      <x:c r="G4" s="17" t="str">
        <x:v>Details</x:v>
      </x:c>
    </x:row>
    <x:row r="5">
      <x:c r="A5" s="25" t="n">
        <x:v>46260.226325787036</x:v>
      </x:c>
      <x:c r="B5" s="23" t="str">
        <x:v>run_started</x:v>
      </x:c>
      <x:c r="C5" s="23" t="str">
        <x:v>extract</x:v>
      </x:c>
      <x:c r="D5" s="23" t="str"/>
      <x:c r="E5" s="23" t="str"/>
      <x:c r="F5" s="27" t="n">
        <x:v>0</x:v>
      </x:c>
      <x:c r="G5" s="23" t="str">
        <x:v>{"network_mode":"offline"}</x:v>
      </x:c>
    </x:row>
    <x:row r="6">
      <x:c r="A6" s="26" t="n">
        <x:v>46260.226325787036</x:v>
      </x:c>
      <x:c r="B6" s="24" t="str">
        <x:v>document_parsed</x:v>
      </x:c>
      <x:c r="C6" s="24" t="str"/>
      <x:c r="D6" s="24" t="str">
        <x:v>controls.csv</x:v>
      </x:c>
      <x:c r="E6" s="24" t="str">
        <x:v>eec1bd7c1ca1b5b6c5ee6cd489055d8c4b2e02362ebb0dce27b65e5edec252a6</x:v>
      </x:c>
      <x:c r="F6" s="28" t="n">
        <x:v>10</x:v>
      </x:c>
      <x:c r="G6" s="24" t="str">
        <x:v>{"input_role":"input","format":"csv","byte_size":168}</x:v>
      </x:c>
    </x:row>
    <x:row r="7">
      <x:c r="A7" s="26" t="n">
        <x:v>46260.226325787036</x:v>
      </x:c>
      <x:c r="B7" s="24" t="str">
        <x:v>document_parsed</x:v>
      </x:c>
      <x:c r="C7" s="24" t="str"/>
      <x:c r="D7" s="24" t="str">
        <x:v>escalation.txt</x:v>
      </x:c>
      <x:c r="E7" s="24" t="str">
        <x:v>98a28d7550362a5adc5263ef912749fe4f6335e5a3c4e66f1a9fbfdbfbec0d06</x:v>
      </x:c>
      <x:c r="F7" s="28" t="n">
        <x:v>3</x:v>
      </x:c>
      <x:c r="G7" s="24" t="str">
        <x:v>{"input_role":"input","format":"txt","byte_size":92}</x:v>
      </x:c>
    </x:row>
    <x:row r="8">
      <x:c r="A8" s="26" t="n">
        <x:v>46260.226325787036</x:v>
      </x:c>
      <x:c r="B8" s="24" t="str">
        <x:v>document_parsed</x:v>
      </x:c>
      <x:c r="C8" s="24" t="str"/>
      <x:c r="D8" s="24" t="str">
        <x:v>policy.md</x:v>
      </x:c>
      <x:c r="E8" s="24" t="str">
        <x:v>c2b0be9ff2b5cc9d3ccdab6fa2f99d0a9f11eb717bec45d128cd8810d09bd8e5</x:v>
      </x:c>
      <x:c r="F8" s="28" t="n">
        <x:v>8</x:v>
      </x:c>
      <x:c r="G8" s="24" t="str">
        <x:v>{"input_role":"input","format":"md","byte_size":278}</x:v>
      </x:c>
    </x:row>
    <x:row r="9">
      <x:c r="A9" s="26" t="n">
        <x:v>46260.226325787036</x:v>
      </x:c>
      <x:c r="B9" s="24" t="str">
        <x:v>document_parsed</x:v>
      </x:c>
      <x:c r="C9" s="24" t="str"/>
      <x:c r="D9" s="24" t="str">
        <x:v>registry.json</x:v>
      </x:c>
      <x:c r="E9" s="24" t="str">
        <x:v>fba566bd239545da69b86ba4362784fde0ec3f572ae99b8c6385c0abbc03fd49</x:v>
      </x:c>
      <x:c r="F9" s="28" t="n">
        <x:v>5</x:v>
      </x:c>
      <x:c r="G9" s="24" t="str">
        <x:v>{"input_role":"input","format":"json","byte_size":191}</x:v>
      </x:c>
    </x:row>
    <x:row r="10">
      <x:c r="A10" s="26" t="n">
        <x:v>46260.22632581019</x:v>
      </x:c>
      <x:c r="B10" s="24" t="str">
        <x:v>run_completed</x:v>
      </x:c>
      <x:c r="C10" s="24" t="str">
        <x:v>extract</x:v>
      </x:c>
      <x:c r="D10" s="24" t="str"/>
      <x:c r="E10" s="24" t="str"/>
      <x:c r="F10" s="28" t="n">
        <x:v>26</x:v>
      </x:c>
      <x:c r="G10" s="24" t="str">
        <x:v>{"review_required":true}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e667cc8afce4729"/>
  </x:tableParts>
</x:worksheet>
</file>